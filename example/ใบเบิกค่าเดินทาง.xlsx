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workshq-my.sharepoint.com/personal/jakgrits_ph_appworks_co_th/Documents/Documents/"/>
    </mc:Choice>
  </mc:AlternateContent>
  <xr:revisionPtr revIDLastSave="21" documentId="13_ncr:1_{2D8E8665-2ADE-420B-95CC-FFFC1C0E126E}" xr6:coauthVersionLast="47" xr6:coauthVersionMax="47" xr10:uidLastSave="{D4D6BA32-E1FE-50DF-AC5A-7383C1CC696E}"/>
  <bookViews>
    <workbookView xWindow="-108" yWindow="-108" windowWidth="23256" windowHeight="12456" xr2:uid="{C4B023EB-4754-444C-94C6-0DA23CC5DA83}"/>
  </bookViews>
  <sheets>
    <sheet name="Apr - เบิกค่าเดินทาง" sheetId="1" r:id="rId1"/>
  </sheets>
  <definedNames>
    <definedName name="_xlnm.Print_Area" localSheetId="0">'Apr - เบิกค่าเดินทาง'!$B$1:$BN$43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" i="1" l="1"/>
  <c r="BE32" i="1" l="1"/>
  <c r="BA32" i="1"/>
  <c r="AW32" i="1"/>
  <c r="AS32" i="1"/>
  <c r="AG31" i="1"/>
  <c r="AO31" i="1" s="1"/>
  <c r="BI31" i="1" s="1"/>
  <c r="AG30" i="1"/>
  <c r="AO30" i="1" s="1"/>
  <c r="BI30" i="1" s="1"/>
  <c r="AG29" i="1"/>
  <c r="AO29" i="1" s="1"/>
  <c r="BI29" i="1" s="1"/>
  <c r="AG28" i="1"/>
  <c r="AO28" i="1" s="1"/>
  <c r="BI28" i="1" s="1"/>
  <c r="AG27" i="1"/>
  <c r="AO27" i="1" s="1"/>
  <c r="BI27" i="1" s="1"/>
  <c r="AG26" i="1"/>
  <c r="AO26" i="1" s="1"/>
  <c r="BI26" i="1" s="1"/>
  <c r="AG25" i="1"/>
  <c r="AO25" i="1" s="1"/>
  <c r="BI25" i="1" s="1"/>
  <c r="AG24" i="1"/>
  <c r="AO24" i="1" s="1"/>
  <c r="BI24" i="1" s="1"/>
  <c r="AG23" i="1"/>
  <c r="AO23" i="1" s="1"/>
  <c r="BI23" i="1" s="1"/>
  <c r="AG22" i="1"/>
  <c r="AO22" i="1" s="1"/>
  <c r="BI22" i="1" s="1"/>
  <c r="AG21" i="1"/>
  <c r="AO21" i="1" s="1"/>
  <c r="BI21" i="1" s="1"/>
  <c r="AG20" i="1"/>
  <c r="AO20" i="1" s="1"/>
  <c r="BI20" i="1" s="1"/>
  <c r="AG19" i="1"/>
  <c r="AO19" i="1" s="1"/>
  <c r="BI19" i="1" s="1"/>
  <c r="AG18" i="1"/>
  <c r="AO18" i="1" s="1"/>
  <c r="BI18" i="1" s="1"/>
  <c r="AG17" i="1"/>
  <c r="AO17" i="1" s="1"/>
  <c r="BI17" i="1" s="1"/>
  <c r="AG16" i="1"/>
  <c r="AO16" i="1" s="1"/>
  <c r="BI16" i="1" s="1"/>
  <c r="AG15" i="1"/>
  <c r="AO15" i="1" s="1"/>
  <c r="BI15" i="1" s="1"/>
  <c r="AG14" i="1"/>
  <c r="AO14" i="1" s="1"/>
  <c r="AO32" i="1" l="1"/>
  <c r="BI14" i="1"/>
  <c r="BI32" i="1" s="1"/>
  <c r="O33" i="1" s="1"/>
  <c r="Z33" i="1" s="1"/>
</calcChain>
</file>

<file path=xl/sharedStrings.xml><?xml version="1.0" encoding="utf-8"?>
<sst xmlns="http://schemas.openxmlformats.org/spreadsheetml/2006/main" count="126" uniqueCount="68">
  <si>
    <t xml:space="preserve"> </t>
  </si>
  <si>
    <t>วันที่ / Date</t>
  </si>
  <si>
    <t>อ้างถึง OF</t>
  </si>
  <si>
    <t xml:space="preserve">ใบเบิกค่าใช้จ่ายการเดินทางภายในประเทศ / Domestic Travel Reimbursement  </t>
  </si>
  <si>
    <t>ชื่อพนักงาน :</t>
  </si>
  <si>
    <t>รหัสพนักงาน :</t>
  </si>
  <si>
    <t xml:space="preserve">ตำแหน่ง : </t>
  </si>
  <si>
    <t xml:space="preserve">ฝ่าย : </t>
  </si>
  <si>
    <t>บริหารงานโครงการ</t>
  </si>
  <si>
    <t>Requestor Name</t>
  </si>
  <si>
    <t>Requestor No.</t>
  </si>
  <si>
    <t>Position</t>
  </si>
  <si>
    <t>Department</t>
  </si>
  <si>
    <t>ขออนุมัติการเดินทางไปปฏิบัติงานนอกสถานที่</t>
  </si>
  <si>
    <t>วันเดินทาง</t>
  </si>
  <si>
    <t>ถึงวันที่</t>
  </si>
  <si>
    <t>Start of Date</t>
  </si>
  <si>
    <t>to</t>
  </si>
  <si>
    <t>โดยข้าพเจ้าขอเบิกค่าใช้จ่ายในการเดินทางไปปฏิบัติงานดังรายการต่อไปนี้</t>
  </si>
  <si>
    <t>วันที่
Date</t>
  </si>
  <si>
    <t>รหัสโครงการ
Job Code</t>
  </si>
  <si>
    <t>รายละเอียด
Detail</t>
  </si>
  <si>
    <t>ประเภทยานพาหนะ
Types of cars</t>
  </si>
  <si>
    <t>เส้นการเดินทาง
Tracks</t>
  </si>
  <si>
    <t>เลขไมล์
The number of miles</t>
  </si>
  <si>
    <t>รวมระยะทาง(Kms)
Total distance'(Kms)</t>
  </si>
  <si>
    <t>อัตราค่าน้ำมัน
Oil Rate</t>
  </si>
  <si>
    <t>j
ค่าเดินทาง</t>
  </si>
  <si>
    <t>k
ค่าน้ำมัน</t>
  </si>
  <si>
    <t>l
ค่าพาหนะเดินทาง</t>
  </si>
  <si>
    <t>m
ค่าผ่านทาง</t>
  </si>
  <si>
    <t>n
ค่าที่จอดรถ</t>
  </si>
  <si>
    <t>รวมทั้งสิ้น 
j+k+l+m+n</t>
  </si>
  <si>
    <t>จาก/From</t>
  </si>
  <si>
    <t>ถึง/To</t>
  </si>
  <si>
    <t>Mileage</t>
  </si>
  <si>
    <t>Gas</t>
  </si>
  <si>
    <t>Transportation Fee</t>
  </si>
  <si>
    <t>Express</t>
  </si>
  <si>
    <t>Car Parking</t>
  </si>
  <si>
    <t>Sum Total</t>
  </si>
  <si>
    <t>รวมค่าใช้จ่าย</t>
  </si>
  <si>
    <t xml:space="preserve">ข้าพเจ้าขอเบิกค่าใช้จ่ายในการเดินทางไปปฏิบัติงานรวมทั้งสิ้น </t>
  </si>
  <si>
    <t>บาท</t>
  </si>
  <si>
    <t xml:space="preserve">        จำนวนเงินตัวอักษร</t>
  </si>
  <si>
    <t xml:space="preserve">ทั้งนี้  ข้าพเจ้าขอรับรองว่ารายการที่กล่าวมาข้างต้นเป็นความจริง พร้อมแนบหลักฐานการจ่ายมาด้วย จำนวน                </t>
  </si>
  <si>
    <t>ฉบับ  รวมทั้งจำนวนเงินที่ขอเบิกถูกต้องตามกฎหมายทุกประการ</t>
  </si>
  <si>
    <t>ผู้ขอเบิก</t>
  </si>
  <si>
    <t>ผู้บังคับบัญชา</t>
  </si>
  <si>
    <t>สอบทานโดย บัญชีการเงิน</t>
  </si>
  <si>
    <t>อนุมัติโดย</t>
  </si>
  <si>
    <t xml:space="preserve">       วันที่/Date       </t>
  </si>
  <si>
    <t xml:space="preserve">       วันที่/Date </t>
  </si>
  <si>
    <t xml:space="preserve">        วันที่/Date </t>
  </si>
  <si>
    <t>หมายเหตุ : การเบิกค่าใช้จ่ายที่ไม่สอดคล้องกับระเบียบปฏิบัติหรือข้อเท็จจริง จะถูกพิจารณาโทษทางวินัยสูงสุด</t>
  </si>
  <si>
    <t>FI-OF-02-001</t>
  </si>
  <si>
    <t>* เบิกค่าเดินทาง มูลค่ารวมภาษีมูลค่าเพิ่ม ไม่เกิน 1,500 บาท ให้ใช้เอกสาร OF TYPE : Petty Cash + ใบเบิกค่าใช้จ่ายการเดินทางภายในประเทศ  (ผู้มีอำนาจอนุมัติ Manager-VP  ตามสายงาน)</t>
  </si>
  <si>
    <t>*** รับเอกสารเบิกย้อนหลังไม่เกิน 15 วัน หากเกินกำหนดขออนุญาติCut offเอกสารและงดการเบิกจ่าย หรือให้อยู่ดุลพินิจของ CFO ว่าจะอนุมัติจ่ายหรือไม่</t>
  </si>
  <si>
    <t>** เบิกค่าเดินทาง มูลค่ารวมภาษีมูลค่าเพิ่ม เกิน 1,500 บาท ให้ใช้เอกสาร OF TYPE : Other + ใบเบิกค่าใช้จ่ายการเดินทางภายในประเทศ (ผู้มีอำนาจอนุมัติ Manager-VP เซ็นต์คู่ C Level ตามสายงาน)</t>
  </si>
  <si>
    <t>**** รอบการรับเอกสาร วันจันทร์-ศุกร์ จ่ายชำระทุกวันศุกร์ถัดไป กรณีเป็นวันหยุดให้เลื่อนขึ้น</t>
  </si>
  <si>
    <t>Project Manager</t>
  </si>
  <si>
    <t xml:space="preserve">Appworks </t>
  </si>
  <si>
    <t xml:space="preserve">จักรกฤษณ์ ภูเงิน </t>
  </si>
  <si>
    <t>0281</t>
  </si>
  <si>
    <t>ประชุมเตรียมตรวจรับงาน</t>
  </si>
  <si>
    <t>A-2022-EXAT-PJ-049</t>
  </si>
  <si>
    <t>รถไฟฟ้า</t>
  </si>
  <si>
    <t>การทางพิเศษฯ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</si>
</sst>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1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Browallia New"/>
      <family val="2"/>
    </font>
    <font>
      <sz val="14"/>
      <name val="CordiaUPC"/>
      <family val="2"/>
    </font>
    <font>
      <sz val="14"/>
      <name val="Browallia New"/>
      <family val="2"/>
    </font>
    <font>
      <sz val="11"/>
      <color theme="1"/>
      <name val="Browallia New"/>
      <family val="2"/>
    </font>
    <font>
      <b/>
      <sz val="10"/>
      <name val="Browallia New"/>
      <family val="2"/>
    </font>
    <font>
      <sz val="16"/>
      <name val="Browallia New"/>
      <family val="2"/>
    </font>
    <font>
      <b/>
      <sz val="18"/>
      <color theme="1"/>
      <name val="Browallia New"/>
      <family val="2"/>
    </font>
    <font>
      <b/>
      <sz val="16"/>
      <name val="Browallia New"/>
      <family val="2"/>
    </font>
    <font>
      <b/>
      <sz val="16"/>
      <color rgb="FF0070C0"/>
      <name val="Browallia New"/>
      <family val="2"/>
    </font>
    <font>
      <b/>
      <sz val="24"/>
      <name val="Browallia New"/>
      <family val="2"/>
    </font>
    <font>
      <b/>
      <sz val="18"/>
      <name val="Browallia New"/>
      <family val="2"/>
    </font>
    <font>
      <sz val="14"/>
      <name val="FreesiaUPC"/>
      <family val="2"/>
      <charset val="222"/>
    </font>
    <font>
      <sz val="12"/>
      <name val="Browallia New"/>
      <family val="2"/>
    </font>
    <font>
      <sz val="11"/>
      <name val="Browallia New"/>
      <family val="2"/>
    </font>
    <font>
      <sz val="14"/>
      <color rgb="FF0070C0"/>
      <name val="Browallia New"/>
      <family val="2"/>
    </font>
    <font>
      <b/>
      <sz val="14"/>
      <name val="Browallia New"/>
      <family val="2"/>
    </font>
    <font>
      <b/>
      <sz val="11"/>
      <color theme="1"/>
      <name val="Browallia New"/>
      <family val="2"/>
    </font>
    <font>
      <b/>
      <sz val="12"/>
      <name val="Browallia Ne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  <xf numFmtId="0" fontId="2" fillId="0" borderId="0"/>
    <xf numFmtId="0" fontId="14" fillId="0" borderId="0"/>
  </cellStyleXfs>
  <cellXfs count="152">
    <xf numFmtId="0" fontId="0" fillId="0" borderId="0" xfId="0"/>
    <xf numFmtId="0" fontId="3" fillId="2" borderId="0" xfId="2" applyFont="1" applyFill="1"/>
    <xf numFmtId="0" fontId="5" fillId="2" borderId="0" xfId="3" applyFont="1" applyFill="1"/>
    <xf numFmtId="0" fontId="6" fillId="2" borderId="0" xfId="0" applyFont="1" applyFill="1"/>
    <xf numFmtId="0" fontId="5" fillId="2" borderId="1" xfId="3" applyFont="1" applyFill="1" applyBorder="1"/>
    <xf numFmtId="0" fontId="5" fillId="2" borderId="2" xfId="3" applyFont="1" applyFill="1" applyBorder="1"/>
    <xf numFmtId="0" fontId="3" fillId="2" borderId="2" xfId="2" applyFont="1" applyFill="1" applyBorder="1"/>
    <xf numFmtId="0" fontId="8" fillId="2" borderId="4" xfId="3" applyFont="1" applyFill="1" applyBorder="1" applyAlignment="1">
      <alignment horizontal="centerContinuous"/>
    </xf>
    <xf numFmtId="0" fontId="9" fillId="2" borderId="0" xfId="0" applyFont="1" applyFill="1"/>
    <xf numFmtId="0" fontId="10" fillId="2" borderId="0" xfId="3" applyFont="1" applyFill="1" applyAlignment="1">
      <alignment horizontal="centerContinuous"/>
    </xf>
    <xf numFmtId="0" fontId="10" fillId="2" borderId="0" xfId="3" applyFont="1" applyFill="1" applyAlignment="1">
      <alignment horizontal="left"/>
    </xf>
    <xf numFmtId="0" fontId="10" fillId="2" borderId="0" xfId="4" applyFont="1" applyFill="1"/>
    <xf numFmtId="0" fontId="9" fillId="2" borderId="0" xfId="0" applyFont="1" applyFill="1" applyAlignment="1">
      <alignment vertical="top"/>
    </xf>
    <xf numFmtId="0" fontId="12" fillId="2" borderId="0" xfId="3" applyFont="1" applyFill="1" applyAlignment="1">
      <alignment horizontal="left"/>
    </xf>
    <xf numFmtId="0" fontId="10" fillId="2" borderId="0" xfId="4" applyFont="1" applyFill="1" applyAlignment="1">
      <alignment horizontal="right"/>
    </xf>
    <xf numFmtId="0" fontId="3" fillId="0" borderId="0" xfId="2" applyFont="1"/>
    <xf numFmtId="0" fontId="10" fillId="2" borderId="4" xfId="3" applyFont="1" applyFill="1" applyBorder="1" applyAlignment="1">
      <alignment horizontal="centerContinuous"/>
    </xf>
    <xf numFmtId="0" fontId="10" fillId="2" borderId="9" xfId="3" applyFont="1" applyFill="1" applyBorder="1" applyAlignment="1">
      <alignment horizontal="centerContinuous"/>
    </xf>
    <xf numFmtId="0" fontId="6" fillId="0" borderId="0" xfId="0" applyFont="1"/>
    <xf numFmtId="0" fontId="13" fillId="2" borderId="0" xfId="2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5" fillId="2" borderId="4" xfId="5" applyFont="1" applyFill="1" applyBorder="1"/>
    <xf numFmtId="0" fontId="5" fillId="2" borderId="0" xfId="5" applyFont="1" applyFill="1"/>
    <xf numFmtId="0" fontId="5" fillId="2" borderId="9" xfId="3" applyFont="1" applyFill="1" applyBorder="1"/>
    <xf numFmtId="0" fontId="15" fillId="2" borderId="0" xfId="2" applyFont="1" applyFill="1"/>
    <xf numFmtId="0" fontId="15" fillId="2" borderId="4" xfId="5" applyFont="1" applyFill="1" applyBorder="1"/>
    <xf numFmtId="0" fontId="15" fillId="2" borderId="0" xfId="5" applyFont="1" applyFill="1"/>
    <xf numFmtId="0" fontId="15" fillId="2" borderId="0" xfId="5" applyFont="1" applyFill="1" applyAlignment="1">
      <alignment horizontal="left"/>
    </xf>
    <xf numFmtId="0" fontId="3" fillId="2" borderId="0" xfId="2" applyFont="1" applyFill="1" applyAlignment="1">
      <alignment vertical="top"/>
    </xf>
    <xf numFmtId="0" fontId="5" fillId="2" borderId="4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0" xfId="3" applyFont="1" applyFill="1" applyAlignment="1">
      <alignment horizontal="left"/>
    </xf>
    <xf numFmtId="0" fontId="5" fillId="2" borderId="0" xfId="3" applyFont="1" applyFill="1" applyAlignment="1">
      <alignment horizontal="centerContinuous" vertical="top"/>
    </xf>
    <xf numFmtId="0" fontId="5" fillId="2" borderId="0" xfId="3" applyFont="1" applyFill="1" applyAlignment="1">
      <alignment vertical="top"/>
    </xf>
    <xf numFmtId="0" fontId="5" fillId="2" borderId="0" xfId="3" applyFont="1" applyFill="1" applyAlignment="1">
      <alignment horizontal="left" vertical="top"/>
    </xf>
    <xf numFmtId="0" fontId="6" fillId="2" borderId="0" xfId="0" applyFont="1" applyFill="1" applyAlignment="1">
      <alignment vertical="top"/>
    </xf>
    <xf numFmtId="0" fontId="15" fillId="2" borderId="0" xfId="3" applyFont="1" applyFill="1" applyAlignment="1">
      <alignment horizontal="left"/>
    </xf>
    <xf numFmtId="0" fontId="13" fillId="2" borderId="0" xfId="3" applyFont="1" applyFill="1" applyAlignment="1">
      <alignment horizontal="center"/>
    </xf>
    <xf numFmtId="0" fontId="5" fillId="2" borderId="4" xfId="3" applyFont="1" applyFill="1" applyBorder="1" applyAlignment="1">
      <alignment horizontal="centerContinuous" vertical="top"/>
    </xf>
    <xf numFmtId="0" fontId="16" fillId="2" borderId="0" xfId="2" applyFont="1" applyFill="1"/>
    <xf numFmtId="0" fontId="7" fillId="2" borderId="0" xfId="2" applyFont="1" applyFill="1"/>
    <xf numFmtId="0" fontId="18" fillId="2" borderId="1" xfId="3" applyFont="1" applyFill="1" applyBorder="1"/>
    <xf numFmtId="0" fontId="18" fillId="2" borderId="2" xfId="3" applyFont="1" applyFill="1" applyBorder="1"/>
    <xf numFmtId="0" fontId="19" fillId="2" borderId="2" xfId="0" applyFont="1" applyFill="1" applyBorder="1"/>
    <xf numFmtId="0" fontId="19" fillId="2" borderId="0" xfId="0" applyFont="1" applyFill="1"/>
    <xf numFmtId="0" fontId="10" fillId="2" borderId="2" xfId="3" applyFont="1" applyFill="1" applyBorder="1"/>
    <xf numFmtId="0" fontId="18" fillId="2" borderId="4" xfId="3" applyFont="1" applyFill="1" applyBorder="1"/>
    <xf numFmtId="0" fontId="18" fillId="2" borderId="0" xfId="3" applyFont="1" applyFill="1"/>
    <xf numFmtId="3" fontId="11" fillId="0" borderId="0" xfId="0" applyNumberFormat="1" applyFont="1" applyAlignment="1" applyProtection="1">
      <alignment vertical="center"/>
      <protection locked="0"/>
    </xf>
    <xf numFmtId="0" fontId="18" fillId="2" borderId="0" xfId="3" applyFont="1" applyFill="1" applyAlignment="1">
      <alignment horizontal="center"/>
    </xf>
    <xf numFmtId="0" fontId="18" fillId="2" borderId="9" xfId="3" applyFont="1" applyFill="1" applyBorder="1" applyAlignment="1">
      <alignment horizontal="center"/>
    </xf>
    <xf numFmtId="0" fontId="5" fillId="2" borderId="4" xfId="3" applyFont="1" applyFill="1" applyBorder="1"/>
    <xf numFmtId="0" fontId="5" fillId="2" borderId="37" xfId="3" applyFont="1" applyFill="1" applyBorder="1"/>
    <xf numFmtId="0" fontId="5" fillId="2" borderId="37" xfId="3" applyFont="1" applyFill="1" applyBorder="1" applyAlignment="1">
      <alignment vertical="top"/>
    </xf>
    <xf numFmtId="0" fontId="5" fillId="2" borderId="9" xfId="3" applyFont="1" applyFill="1" applyBorder="1" applyAlignment="1">
      <alignment horizontal="center"/>
    </xf>
    <xf numFmtId="0" fontId="20" fillId="2" borderId="0" xfId="3" applyFont="1" applyFill="1"/>
    <xf numFmtId="0" fontId="5" fillId="2" borderId="41" xfId="3" applyFont="1" applyFill="1" applyBorder="1"/>
    <xf numFmtId="0" fontId="5" fillId="2" borderId="24" xfId="3" applyFont="1" applyFill="1" applyBorder="1"/>
    <xf numFmtId="0" fontId="5" fillId="2" borderId="42" xfId="3" applyFont="1" applyFill="1" applyBorder="1"/>
    <xf numFmtId="0" fontId="3" fillId="2" borderId="9" xfId="2" applyFont="1" applyFill="1" applyBorder="1"/>
    <xf numFmtId="0" fontId="5" fillId="2" borderId="43" xfId="3" applyFont="1" applyFill="1" applyBorder="1"/>
    <xf numFmtId="0" fontId="5" fillId="2" borderId="44" xfId="3" applyFont="1" applyFill="1" applyBorder="1"/>
    <xf numFmtId="0" fontId="5" fillId="2" borderId="45" xfId="3" applyFont="1" applyFill="1" applyBorder="1"/>
    <xf numFmtId="0" fontId="15" fillId="2" borderId="0" xfId="3" applyFont="1" applyFill="1"/>
    <xf numFmtId="0" fontId="15" fillId="2" borderId="46" xfId="3" applyFont="1" applyFill="1" applyBorder="1"/>
    <xf numFmtId="0" fontId="15" fillId="2" borderId="47" xfId="3" applyFont="1" applyFill="1" applyBorder="1"/>
    <xf numFmtId="0" fontId="15" fillId="2" borderId="48" xfId="3" applyFont="1" applyFill="1" applyBorder="1"/>
    <xf numFmtId="0" fontId="3" fillId="2" borderId="37" xfId="2" applyFont="1" applyFill="1" applyBorder="1"/>
    <xf numFmtId="0" fontId="3" fillId="2" borderId="49" xfId="2" applyFont="1" applyFill="1" applyBorder="1"/>
    <xf numFmtId="0" fontId="5" fillId="2" borderId="0" xfId="2" applyFont="1" applyFill="1"/>
    <xf numFmtId="0" fontId="18" fillId="2" borderId="50" xfId="2" applyFont="1" applyFill="1" applyBorder="1" applyAlignment="1">
      <alignment vertical="center"/>
    </xf>
    <xf numFmtId="0" fontId="5" fillId="2" borderId="37" xfId="2" applyFont="1" applyFill="1" applyBorder="1" applyAlignment="1">
      <alignment vertical="center"/>
    </xf>
    <xf numFmtId="0" fontId="18" fillId="2" borderId="49" xfId="2" applyFont="1" applyFill="1" applyBorder="1" applyAlignment="1">
      <alignment horizontal="right" vertical="center"/>
    </xf>
    <xf numFmtId="0" fontId="7" fillId="2" borderId="2" xfId="3" applyFont="1" applyFill="1" applyBorder="1" applyAlignment="1">
      <alignment horizontal="right"/>
    </xf>
    <xf numFmtId="0" fontId="7" fillId="2" borderId="3" xfId="3" applyFont="1" applyFill="1" applyBorder="1" applyAlignment="1">
      <alignment horizontal="right"/>
    </xf>
    <xf numFmtId="14" fontId="11" fillId="2" borderId="5" xfId="0" applyNumberFormat="1" applyFont="1" applyFill="1" applyBorder="1" applyAlignment="1" applyProtection="1">
      <alignment horizontal="left"/>
      <protection locked="0"/>
    </xf>
    <xf numFmtId="14" fontId="11" fillId="2" borderId="6" xfId="0" applyNumberFormat="1" applyFont="1" applyFill="1" applyBorder="1" applyAlignment="1" applyProtection="1">
      <alignment horizontal="left"/>
      <protection locked="0"/>
    </xf>
    <xf numFmtId="0" fontId="11" fillId="2" borderId="7" xfId="0" applyFont="1" applyFill="1" applyBorder="1" applyAlignment="1" applyProtection="1">
      <alignment horizontal="left"/>
      <protection locked="0"/>
    </xf>
    <xf numFmtId="0" fontId="11" fillId="2" borderId="8" xfId="0" applyFont="1" applyFill="1" applyBorder="1" applyAlignment="1" applyProtection="1">
      <alignment horizontal="left"/>
      <protection locked="0"/>
    </xf>
    <xf numFmtId="0" fontId="10" fillId="3" borderId="4" xfId="3" applyFont="1" applyFill="1" applyBorder="1" applyAlignment="1">
      <alignment horizontal="center" vertical="center"/>
    </xf>
    <xf numFmtId="0" fontId="10" fillId="3" borderId="0" xfId="3" applyFont="1" applyFill="1" applyAlignment="1">
      <alignment horizontal="center" vertical="center"/>
    </xf>
    <xf numFmtId="0" fontId="10" fillId="3" borderId="9" xfId="3" applyFont="1" applyFill="1" applyBorder="1" applyAlignment="1">
      <alignment horizontal="center" vertical="center"/>
    </xf>
    <xf numFmtId="0" fontId="11" fillId="2" borderId="5" xfId="0" applyFont="1" applyFill="1" applyBorder="1" applyAlignment="1" applyProtection="1">
      <alignment horizontal="center"/>
      <protection locked="0"/>
    </xf>
    <xf numFmtId="49" fontId="11" fillId="2" borderId="5" xfId="0" applyNumberFormat="1" applyFont="1" applyFill="1" applyBorder="1" applyAlignment="1" applyProtection="1">
      <alignment horizontal="center"/>
      <protection locked="0"/>
    </xf>
    <xf numFmtId="0" fontId="16" fillId="2" borderId="12" xfId="3" applyFont="1" applyFill="1" applyBorder="1" applyAlignment="1">
      <alignment horizontal="center" wrapText="1"/>
    </xf>
    <xf numFmtId="0" fontId="16" fillId="2" borderId="12" xfId="3" applyFont="1" applyFill="1" applyBorder="1" applyAlignment="1">
      <alignment horizontal="center"/>
    </xf>
    <xf numFmtId="0" fontId="16" fillId="2" borderId="13" xfId="3" applyFont="1" applyFill="1" applyBorder="1" applyAlignment="1">
      <alignment horizontal="center"/>
    </xf>
    <xf numFmtId="0" fontId="16" fillId="2" borderId="14" xfId="3" applyFont="1" applyFill="1" applyBorder="1" applyAlignment="1">
      <alignment horizontal="center"/>
    </xf>
    <xf numFmtId="0" fontId="16" fillId="2" borderId="15" xfId="3" applyFont="1" applyFill="1" applyBorder="1" applyAlignment="1">
      <alignment horizontal="center"/>
    </xf>
    <xf numFmtId="14" fontId="11" fillId="2" borderId="5" xfId="0" applyNumberFormat="1" applyFont="1" applyFill="1" applyBorder="1" applyAlignment="1" applyProtection="1">
      <alignment horizontal="center"/>
      <protection locked="0"/>
    </xf>
    <xf numFmtId="0" fontId="16" fillId="2" borderId="10" xfId="2" applyFont="1" applyFill="1" applyBorder="1" applyAlignment="1">
      <alignment horizontal="center" vertical="center" wrapText="1"/>
    </xf>
    <xf numFmtId="0" fontId="16" fillId="2" borderId="11" xfId="2" applyFont="1" applyFill="1" applyBorder="1" applyAlignment="1">
      <alignment horizontal="center" vertical="center" wrapText="1"/>
    </xf>
    <xf numFmtId="0" fontId="16" fillId="2" borderId="11" xfId="3" applyFont="1" applyFill="1" applyBorder="1" applyAlignment="1">
      <alignment horizontal="center" vertical="center" wrapText="1"/>
    </xf>
    <xf numFmtId="0" fontId="16" fillId="2" borderId="11" xfId="2" applyFont="1" applyFill="1" applyBorder="1" applyAlignment="1">
      <alignment horizontal="center" wrapText="1"/>
    </xf>
    <xf numFmtId="0" fontId="16" fillId="2" borderId="11" xfId="2" applyFont="1" applyFill="1" applyBorder="1" applyAlignment="1">
      <alignment horizontal="center"/>
    </xf>
    <xf numFmtId="0" fontId="16" fillId="2" borderId="11" xfId="3" applyFont="1" applyFill="1" applyBorder="1" applyAlignment="1">
      <alignment horizontal="center" wrapText="1"/>
    </xf>
    <xf numFmtId="0" fontId="16" fillId="2" borderId="11" xfId="3" applyFont="1" applyFill="1" applyBorder="1" applyAlignment="1">
      <alignment horizontal="center"/>
    </xf>
    <xf numFmtId="0" fontId="16" fillId="2" borderId="15" xfId="2" applyFont="1" applyFill="1" applyBorder="1" applyAlignment="1">
      <alignment horizontal="center"/>
    </xf>
    <xf numFmtId="0" fontId="16" fillId="2" borderId="16" xfId="3" applyFont="1" applyFill="1" applyBorder="1" applyAlignment="1">
      <alignment horizontal="center"/>
    </xf>
    <xf numFmtId="0" fontId="16" fillId="2" borderId="17" xfId="3" applyFont="1" applyFill="1" applyBorder="1" applyAlignment="1">
      <alignment horizontal="center"/>
    </xf>
    <xf numFmtId="14" fontId="5" fillId="2" borderId="10" xfId="3" applyNumberFormat="1" applyFont="1" applyFill="1" applyBorder="1" applyAlignment="1" applyProtection="1">
      <alignment horizontal="center"/>
      <protection locked="0"/>
    </xf>
    <xf numFmtId="14" fontId="5" fillId="2" borderId="11" xfId="3" applyNumberFormat="1" applyFont="1" applyFill="1" applyBorder="1" applyAlignment="1" applyProtection="1">
      <alignment horizontal="center"/>
      <protection locked="0"/>
    </xf>
    <xf numFmtId="0" fontId="5" fillId="2" borderId="18" xfId="3" applyFont="1" applyFill="1" applyBorder="1" applyAlignment="1" applyProtection="1">
      <alignment horizontal="center"/>
      <protection locked="0"/>
    </xf>
    <xf numFmtId="0" fontId="5" fillId="2" borderId="19" xfId="3" applyFont="1" applyFill="1" applyBorder="1" applyAlignment="1" applyProtection="1">
      <alignment horizontal="center"/>
      <protection locked="0"/>
    </xf>
    <xf numFmtId="0" fontId="5" fillId="2" borderId="20" xfId="3" applyFont="1" applyFill="1" applyBorder="1" applyAlignment="1" applyProtection="1">
      <alignment horizontal="center"/>
      <protection locked="0"/>
    </xf>
    <xf numFmtId="0" fontId="5" fillId="2" borderId="11" xfId="3" applyFont="1" applyFill="1" applyBorder="1" applyAlignment="1" applyProtection="1">
      <alignment horizontal="center"/>
      <protection locked="0"/>
    </xf>
    <xf numFmtId="0" fontId="17" fillId="2" borderId="18" xfId="0" applyFont="1" applyFill="1" applyBorder="1" applyAlignment="1" applyProtection="1">
      <alignment horizontal="center" vertical="center"/>
      <protection locked="0"/>
    </xf>
    <xf numFmtId="0" fontId="17" fillId="2" borderId="19" xfId="0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 applyProtection="1">
      <alignment horizontal="center" vertical="center"/>
      <protection locked="0"/>
    </xf>
    <xf numFmtId="0" fontId="17" fillId="0" borderId="18" xfId="0" applyFont="1" applyBorder="1" applyAlignment="1" applyProtection="1">
      <alignment horizontal="center" vertical="center"/>
      <protection locked="0"/>
    </xf>
    <xf numFmtId="0" fontId="17" fillId="0" borderId="19" xfId="0" applyFont="1" applyBorder="1" applyAlignment="1" applyProtection="1">
      <alignment horizontal="center" vertical="center"/>
      <protection locked="0"/>
    </xf>
    <xf numFmtId="0" fontId="17" fillId="0" borderId="20" xfId="0" applyFont="1" applyBorder="1" applyAlignment="1" applyProtection="1">
      <alignment horizontal="center" vertical="center"/>
      <protection locked="0"/>
    </xf>
    <xf numFmtId="43" fontId="18" fillId="2" borderId="11" xfId="1" applyFont="1" applyFill="1" applyBorder="1" applyAlignment="1" applyProtection="1">
      <alignment horizontal="right"/>
    </xf>
    <xf numFmtId="43" fontId="18" fillId="2" borderId="18" xfId="1" applyFont="1" applyFill="1" applyBorder="1" applyAlignment="1" applyProtection="1">
      <alignment horizontal="right"/>
    </xf>
    <xf numFmtId="43" fontId="18" fillId="2" borderId="21" xfId="1" applyFont="1" applyFill="1" applyBorder="1" applyAlignment="1" applyProtection="1">
      <alignment horizontal="right"/>
    </xf>
    <xf numFmtId="43" fontId="5" fillId="2" borderId="11" xfId="1" applyFont="1" applyFill="1" applyBorder="1" applyAlignment="1" applyProtection="1">
      <alignment horizontal="center"/>
    </xf>
    <xf numFmtId="0" fontId="16" fillId="2" borderId="15" xfId="3" applyFont="1" applyFill="1" applyBorder="1" applyAlignment="1">
      <alignment horizontal="center" wrapText="1"/>
    </xf>
    <xf numFmtId="0" fontId="3" fillId="2" borderId="11" xfId="3" applyFont="1" applyFill="1" applyBorder="1" applyAlignment="1">
      <alignment horizontal="center" wrapText="1"/>
    </xf>
    <xf numFmtId="0" fontId="3" fillId="2" borderId="11" xfId="3" applyFont="1" applyFill="1" applyBorder="1" applyAlignment="1">
      <alignment horizontal="center"/>
    </xf>
    <xf numFmtId="164" fontId="5" fillId="2" borderId="11" xfId="1" applyNumberFormat="1" applyFont="1" applyFill="1" applyBorder="1" applyAlignment="1" applyProtection="1">
      <alignment horizontal="center"/>
    </xf>
    <xf numFmtId="14" fontId="5" fillId="2" borderId="22" xfId="3" applyNumberFormat="1" applyFont="1" applyFill="1" applyBorder="1" applyAlignment="1" applyProtection="1">
      <alignment horizontal="center"/>
      <protection locked="0"/>
    </xf>
    <xf numFmtId="14" fontId="5" fillId="2" borderId="19" xfId="3" applyNumberFormat="1" applyFont="1" applyFill="1" applyBorder="1" applyAlignment="1" applyProtection="1">
      <alignment horizontal="center"/>
      <protection locked="0"/>
    </xf>
    <xf numFmtId="14" fontId="5" fillId="2" borderId="20" xfId="3" applyNumberFormat="1" applyFont="1" applyFill="1" applyBorder="1" applyAlignment="1" applyProtection="1">
      <alignment horizontal="center"/>
      <protection locked="0"/>
    </xf>
    <xf numFmtId="43" fontId="18" fillId="2" borderId="19" xfId="1" applyFont="1" applyFill="1" applyBorder="1" applyAlignment="1" applyProtection="1">
      <alignment horizontal="right"/>
    </xf>
    <xf numFmtId="43" fontId="18" fillId="2" borderId="23" xfId="1" applyFont="1" applyFill="1" applyBorder="1" applyAlignment="1" applyProtection="1">
      <alignment horizontal="right"/>
    </xf>
    <xf numFmtId="43" fontId="5" fillId="2" borderId="18" xfId="1" applyFont="1" applyFill="1" applyBorder="1" applyAlignment="1" applyProtection="1">
      <alignment horizontal="center"/>
    </xf>
    <xf numFmtId="43" fontId="5" fillId="2" borderId="19" xfId="1" applyFont="1" applyFill="1" applyBorder="1" applyAlignment="1" applyProtection="1">
      <alignment horizontal="center"/>
    </xf>
    <xf numFmtId="43" fontId="5" fillId="2" borderId="20" xfId="1" applyFont="1" applyFill="1" applyBorder="1" applyAlignment="1" applyProtection="1">
      <alignment horizontal="center"/>
    </xf>
    <xf numFmtId="0" fontId="18" fillId="2" borderId="13" xfId="3" applyFont="1" applyFill="1" applyBorder="1" applyAlignment="1" applyProtection="1">
      <alignment horizontal="center"/>
      <protection locked="0"/>
    </xf>
    <xf numFmtId="0" fontId="18" fillId="2" borderId="24" xfId="3" applyFont="1" applyFill="1" applyBorder="1" applyAlignment="1" applyProtection="1">
      <alignment horizontal="center"/>
      <protection locked="0"/>
    </xf>
    <xf numFmtId="0" fontId="18" fillId="2" borderId="25" xfId="3" applyFont="1" applyFill="1" applyBorder="1" applyAlignment="1" applyProtection="1">
      <alignment horizontal="center"/>
      <protection locked="0"/>
    </xf>
    <xf numFmtId="164" fontId="5" fillId="2" borderId="18" xfId="1" applyNumberFormat="1" applyFont="1" applyFill="1" applyBorder="1" applyAlignment="1" applyProtection="1">
      <alignment horizontal="center"/>
    </xf>
    <xf numFmtId="164" fontId="5" fillId="2" borderId="19" xfId="1" applyNumberFormat="1" applyFont="1" applyFill="1" applyBorder="1" applyAlignment="1" applyProtection="1">
      <alignment horizontal="center"/>
    </xf>
    <xf numFmtId="164" fontId="5" fillId="2" borderId="20" xfId="1" applyNumberFormat="1" applyFont="1" applyFill="1" applyBorder="1" applyAlignment="1" applyProtection="1">
      <alignment horizontal="center"/>
    </xf>
    <xf numFmtId="0" fontId="3" fillId="2" borderId="0" xfId="2" applyFont="1" applyFill="1" applyAlignment="1">
      <alignment horizontal="center"/>
    </xf>
    <xf numFmtId="4" fontId="11" fillId="0" borderId="32" xfId="0" applyNumberFormat="1" applyFont="1" applyBorder="1" applyAlignment="1">
      <alignment horizontal="center" vertical="center"/>
    </xf>
    <xf numFmtId="0" fontId="18" fillId="2" borderId="33" xfId="3" applyFont="1" applyFill="1" applyBorder="1" applyAlignment="1">
      <alignment horizontal="center"/>
    </xf>
    <xf numFmtId="0" fontId="18" fillId="2" borderId="34" xfId="3" applyFont="1" applyFill="1" applyBorder="1" applyAlignment="1">
      <alignment horizontal="center"/>
    </xf>
    <xf numFmtId="0" fontId="18" fillId="2" borderId="35" xfId="3" applyFont="1" applyFill="1" applyBorder="1" applyAlignment="1">
      <alignment horizontal="center"/>
    </xf>
    <xf numFmtId="0" fontId="18" fillId="2" borderId="36" xfId="3" applyFont="1" applyFill="1" applyBorder="1" applyAlignment="1">
      <alignment horizontal="center"/>
    </xf>
    <xf numFmtId="3" fontId="11" fillId="0" borderId="5" xfId="0" applyNumberFormat="1" applyFont="1" applyBorder="1" applyAlignment="1" applyProtection="1">
      <alignment horizontal="center" vertical="center"/>
      <protection locked="0"/>
    </xf>
    <xf numFmtId="0" fontId="20" fillId="3" borderId="38" xfId="3" applyFont="1" applyFill="1" applyBorder="1" applyAlignment="1">
      <alignment horizontal="center"/>
    </xf>
    <xf numFmtId="0" fontId="20" fillId="3" borderId="39" xfId="3" applyFont="1" applyFill="1" applyBorder="1" applyAlignment="1">
      <alignment horizontal="center"/>
    </xf>
    <xf numFmtId="0" fontId="20" fillId="3" borderId="40" xfId="3" applyFont="1" applyFill="1" applyBorder="1" applyAlignment="1">
      <alignment horizontal="center"/>
    </xf>
    <xf numFmtId="14" fontId="5" fillId="2" borderId="26" xfId="3" applyNumberFormat="1" applyFont="1" applyFill="1" applyBorder="1" applyAlignment="1">
      <alignment horizontal="center"/>
    </xf>
    <xf numFmtId="14" fontId="5" fillId="2" borderId="27" xfId="3" applyNumberFormat="1" applyFont="1" applyFill="1" applyBorder="1" applyAlignment="1">
      <alignment horizontal="center"/>
    </xf>
    <xf numFmtId="14" fontId="5" fillId="2" borderId="28" xfId="3" applyNumberFormat="1" applyFont="1" applyFill="1" applyBorder="1" applyAlignment="1">
      <alignment horizontal="center"/>
    </xf>
    <xf numFmtId="43" fontId="5" fillId="2" borderId="29" xfId="1" applyFont="1" applyFill="1" applyBorder="1" applyAlignment="1" applyProtection="1">
      <alignment horizontal="center"/>
    </xf>
    <xf numFmtId="43" fontId="18" fillId="2" borderId="29" xfId="1" applyFont="1" applyFill="1" applyBorder="1" applyAlignment="1" applyProtection="1">
      <alignment horizontal="right"/>
    </xf>
    <xf numFmtId="43" fontId="18" fillId="2" borderId="30" xfId="1" applyFont="1" applyFill="1" applyBorder="1" applyAlignment="1" applyProtection="1">
      <alignment horizontal="right"/>
    </xf>
    <xf numFmtId="43" fontId="18" fillId="2" borderId="31" xfId="1" applyFont="1" applyFill="1" applyBorder="1" applyAlignment="1" applyProtection="1">
      <alignment horizontal="right"/>
    </xf>
    <xf numFmtId="0" fontId="5" fillId="2" borderId="12" xfId="3" applyFont="1" applyFill="1" applyBorder="1" applyAlignment="1" applyProtection="1">
      <alignment horizontal="center"/>
      <protection locked="0"/>
    </xf>
  </cellXfs>
  <cellStyles count="6">
    <cellStyle name="Comma" xfId="1" builtinId="3"/>
    <cellStyle name="Normal" xfId="0" builtinId="0"/>
    <cellStyle name="Normal_EXP_Form&amp;Report_final 2" xfId="2" xr:uid="{D8E39381-AC9A-4347-B6D8-95215A5BB569}"/>
    <cellStyle name="Normal_figure73" xfId="5" xr:uid="{E5280390-4924-407B-9EDC-BC5E0BF0F4D1}"/>
    <cellStyle name="Normal_FORM-VER" xfId="3" xr:uid="{FDFF4D11-0DB2-4FFC-97A5-0DC0C469D432}"/>
    <cellStyle name="Normal_payablev" xfId="4" xr:uid="{F3D69ABF-215B-4BBC-BB93-78E2A389A02C}"/>
  </cellStyles>
  <dxfs count="9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28221</xdr:colOff>
      <xdr:row>2</xdr:row>
      <xdr:rowOff>21167</xdr:rowOff>
    </xdr:from>
    <xdr:to>
      <xdr:col>15</xdr:col>
      <xdr:colOff>163652</xdr:colOff>
      <xdr:row>3</xdr:row>
      <xdr:rowOff>313866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156C6C-E2D2-4ECC-A8C9-F6E7DD2E9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1401" y="257387"/>
          <a:ext cx="1865171" cy="5822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105835</xdr:colOff>
      <xdr:row>1</xdr:row>
      <xdr:rowOff>183445</xdr:rowOff>
    </xdr:from>
    <xdr:to>
      <xdr:col>9</xdr:col>
      <xdr:colOff>133351</xdr:colOff>
      <xdr:row>3</xdr:row>
      <xdr:rowOff>277989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DF3F96-3F7F-42D8-ABC1-0B5FDB80F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755" y="191065"/>
          <a:ext cx="2130636" cy="6127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4524-4CC7-4B2B-B686-CE1C1B5BA5A7}">
  <sheetPr>
    <pageSetUpPr fitToPage="1"/>
  </sheetPr>
  <dimension ref="A1:BN45"/>
  <sheetViews>
    <sheetView tabSelected="1" zoomScale="80" zoomScaleNormal="80" zoomScaleSheetLayoutView="90" workbookViewId="0">
      <selection activeCell="AH54" sqref="AH54"/>
    </sheetView>
  </sheetViews>
  <sheetFormatPr defaultColWidth="8.3984375" defaultRowHeight="15.6" x14ac:dyDescent="0.4"/>
  <cols>
    <col min="1" max="1" width="1.59765625" style="1" customWidth="1"/>
    <col min="2" max="5" width="2.5" style="1" customWidth="1"/>
    <col min="6" max="6" width="3.8984375" style="1" customWidth="1"/>
    <col min="7" max="7" width="5.8984375" style="1" customWidth="1"/>
    <col min="8" max="9" width="3.8984375" style="1" customWidth="1"/>
    <col min="10" max="14" width="4.69921875" style="1" customWidth="1"/>
    <col min="15" max="19" width="3.8984375" style="1" customWidth="1"/>
    <col min="20" max="20" width="4" style="1" customWidth="1"/>
    <col min="21" max="21" width="4.69921875" style="1" customWidth="1"/>
    <col min="22" max="22" width="5.5" style="1" customWidth="1"/>
    <col min="23" max="26" width="4.69921875" style="1" customWidth="1"/>
    <col min="27" max="66" width="2.5" style="1" customWidth="1"/>
    <col min="67" max="16384" width="8.3984375" style="3"/>
  </cols>
  <sheetData>
    <row r="1" spans="1:66" ht="0.9" customHeight="1" thickBot="1" x14ac:dyDescent="0.5500000000000000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spans="1:66" ht="18" customHeight="1" x14ac:dyDescent="0.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73" t="s">
        <v>0</v>
      </c>
      <c r="BJ2" s="73"/>
      <c r="BK2" s="73"/>
      <c r="BL2" s="73"/>
      <c r="BM2" s="73"/>
      <c r="BN2" s="74"/>
    </row>
    <row r="3" spans="1:66" ht="23.25" customHeight="1" x14ac:dyDescent="0.7">
      <c r="B3" s="7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W3" s="9"/>
      <c r="X3" s="3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L3" s="10"/>
      <c r="AM3" s="9"/>
      <c r="AQ3" s="9"/>
      <c r="AR3" s="9"/>
      <c r="AU3" s="9"/>
      <c r="AV3" s="9"/>
      <c r="AW3" s="9"/>
      <c r="AX3" s="9"/>
      <c r="AY3" s="9"/>
      <c r="AZ3" s="9"/>
      <c r="BA3" s="9"/>
      <c r="BB3" s="9"/>
      <c r="BC3" s="9"/>
      <c r="BD3" s="11" t="s">
        <v>1</v>
      </c>
      <c r="BE3" s="11"/>
      <c r="BF3" s="11"/>
      <c r="BG3" s="11"/>
      <c r="BH3" s="75">
        <f ca="1">TODAY()</f>
        <v>45905</v>
      </c>
      <c r="BI3" s="75"/>
      <c r="BJ3" s="75"/>
      <c r="BK3" s="75"/>
      <c r="BL3" s="75"/>
      <c r="BM3" s="75"/>
      <c r="BN3" s="76"/>
    </row>
    <row r="4" spans="1:66" ht="26.25" customHeight="1" x14ac:dyDescent="0.9">
      <c r="B4" s="7"/>
      <c r="C4" s="12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W4" s="9"/>
      <c r="X4" s="3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13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11"/>
      <c r="BE4" s="11"/>
      <c r="BF4" s="11"/>
      <c r="BG4" s="14" t="s">
        <v>2</v>
      </c>
      <c r="BH4" s="77"/>
      <c r="BI4" s="77"/>
      <c r="BJ4" s="77"/>
      <c r="BK4" s="77"/>
      <c r="BL4" s="77"/>
      <c r="BM4" s="77"/>
      <c r="BN4" s="78"/>
    </row>
    <row r="5" spans="1:66" s="18" customFormat="1" ht="6" customHeight="1" x14ac:dyDescent="0.65">
      <c r="A5" s="15"/>
      <c r="B5" s="16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17"/>
    </row>
    <row r="6" spans="1:66" s="20" customFormat="1" ht="26.4" x14ac:dyDescent="0.4">
      <c r="A6" s="19"/>
      <c r="B6" s="79" t="s">
        <v>3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1"/>
    </row>
    <row r="7" spans="1:66" ht="33" customHeight="1" x14ac:dyDescent="0.65">
      <c r="B7" s="21"/>
      <c r="C7" s="22" t="s">
        <v>4</v>
      </c>
      <c r="E7" s="22"/>
      <c r="F7" s="22"/>
      <c r="G7" s="82" t="s">
        <v>62</v>
      </c>
      <c r="H7" s="82"/>
      <c r="I7" s="82"/>
      <c r="J7" s="82"/>
      <c r="K7" s="82"/>
      <c r="L7" s="82"/>
      <c r="M7" s="82"/>
      <c r="N7" s="82"/>
      <c r="O7" s="82"/>
      <c r="P7" s="82"/>
      <c r="Q7" s="22" t="s">
        <v>5</v>
      </c>
      <c r="R7" s="22"/>
      <c r="S7" s="22"/>
      <c r="T7" s="83" t="s">
        <v>63</v>
      </c>
      <c r="U7" s="83"/>
      <c r="V7" s="83"/>
      <c r="W7" s="83"/>
      <c r="X7" s="83"/>
      <c r="Y7" s="22" t="s">
        <v>6</v>
      </c>
      <c r="Z7" s="22"/>
      <c r="AA7" s="82" t="s">
        <v>60</v>
      </c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22"/>
      <c r="AT7" s="22" t="s">
        <v>7</v>
      </c>
      <c r="AU7" s="22"/>
      <c r="AV7" s="82" t="s">
        <v>8</v>
      </c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23"/>
    </row>
    <row r="8" spans="1:66" ht="15" customHeight="1" x14ac:dyDescent="0.5">
      <c r="A8" s="24"/>
      <c r="B8" s="25"/>
      <c r="C8" s="26" t="s">
        <v>9</v>
      </c>
      <c r="E8" s="26"/>
      <c r="F8" s="26"/>
      <c r="G8" s="3"/>
      <c r="H8" s="26"/>
      <c r="I8" s="26"/>
      <c r="J8" s="26"/>
      <c r="K8" s="26"/>
      <c r="L8" s="26"/>
      <c r="M8" s="26"/>
      <c r="Q8" s="26" t="s">
        <v>10</v>
      </c>
      <c r="R8" s="26"/>
      <c r="S8" s="26"/>
      <c r="T8" s="26"/>
      <c r="U8" s="26"/>
      <c r="V8" s="26"/>
      <c r="W8" s="3"/>
      <c r="X8" s="27"/>
      <c r="Y8" s="26" t="s">
        <v>11</v>
      </c>
      <c r="Z8" s="26"/>
      <c r="AC8" s="26"/>
      <c r="AD8" s="3"/>
      <c r="AE8" s="3"/>
      <c r="AI8" s="26"/>
      <c r="AJ8" s="26"/>
      <c r="AK8" s="26"/>
      <c r="AL8" s="3"/>
      <c r="AM8" s="26"/>
      <c r="AN8" s="26"/>
      <c r="AO8" s="26"/>
      <c r="AP8" s="26"/>
      <c r="AR8" s="26"/>
      <c r="AT8" s="26" t="s">
        <v>12</v>
      </c>
      <c r="AU8" s="26"/>
      <c r="AV8" s="26"/>
      <c r="AW8" s="26"/>
      <c r="AX8" s="26"/>
      <c r="AY8" s="26"/>
      <c r="AZ8" s="26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23"/>
    </row>
    <row r="9" spans="1:66" s="35" customFormat="1" ht="24" x14ac:dyDescent="0.65">
      <c r="A9" s="28"/>
      <c r="B9" s="29"/>
      <c r="C9" s="2" t="s">
        <v>13</v>
      </c>
      <c r="D9" s="2"/>
      <c r="E9" s="30"/>
      <c r="F9" s="30"/>
      <c r="G9" s="30"/>
      <c r="H9" s="30"/>
      <c r="I9" s="2"/>
      <c r="J9" s="2"/>
      <c r="K9" s="2"/>
      <c r="L9" s="2" t="s">
        <v>14</v>
      </c>
      <c r="M9" s="2"/>
      <c r="N9" s="89">
        <v>45839</v>
      </c>
      <c r="O9" s="89"/>
      <c r="P9" s="89"/>
      <c r="Q9" s="89"/>
      <c r="R9" s="89"/>
      <c r="S9" s="89"/>
      <c r="T9" s="89"/>
      <c r="U9" s="89"/>
      <c r="V9" s="31" t="s">
        <v>15</v>
      </c>
      <c r="W9" s="89">
        <v>45854</v>
      </c>
      <c r="X9" s="89"/>
      <c r="Y9" s="89"/>
      <c r="Z9" s="89"/>
      <c r="AA9" s="89"/>
      <c r="AB9" s="89"/>
      <c r="AC9" s="89"/>
      <c r="AD9" s="89"/>
      <c r="AE9" s="89"/>
      <c r="AF9" s="32"/>
      <c r="AG9" s="32"/>
      <c r="AH9" s="32"/>
      <c r="AI9" s="33"/>
      <c r="AJ9" s="33"/>
      <c r="AK9" s="33"/>
      <c r="AL9" s="34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N9" s="23"/>
    </row>
    <row r="10" spans="1:66" ht="15.9" customHeight="1" x14ac:dyDescent="0.7">
      <c r="B10" s="29"/>
      <c r="C10" s="2"/>
      <c r="D10" s="2"/>
      <c r="E10" s="30"/>
      <c r="F10" s="30"/>
      <c r="G10" s="30"/>
      <c r="H10" s="30"/>
      <c r="I10" s="30"/>
      <c r="J10" s="30"/>
      <c r="K10" s="30"/>
      <c r="L10" s="36" t="s">
        <v>16</v>
      </c>
      <c r="M10" s="37"/>
      <c r="N10" s="30"/>
      <c r="O10" s="30"/>
      <c r="P10" s="30"/>
      <c r="Q10" s="30"/>
      <c r="R10" s="30"/>
      <c r="S10" s="37"/>
      <c r="T10" s="30"/>
      <c r="U10" s="30"/>
      <c r="V10" s="36" t="s">
        <v>17</v>
      </c>
      <c r="W10" s="30"/>
      <c r="X10" s="31"/>
      <c r="Y10" s="3"/>
      <c r="Z10" s="3"/>
      <c r="AA10" s="30"/>
      <c r="AB10" s="30"/>
      <c r="AC10" s="2"/>
      <c r="AD10" s="30"/>
      <c r="AE10" s="31"/>
      <c r="AF10" s="30"/>
      <c r="AG10" s="30"/>
      <c r="AH10" s="3"/>
      <c r="AJ10" s="30"/>
      <c r="AK10" s="31"/>
      <c r="AL10" s="30"/>
      <c r="AM10" s="30"/>
      <c r="AN10" s="30"/>
      <c r="AO10" s="2"/>
      <c r="AP10" s="2"/>
      <c r="AQ10" s="2"/>
      <c r="AR10" s="31"/>
      <c r="AS10" s="2"/>
      <c r="AT10" s="2"/>
      <c r="AU10" s="2"/>
      <c r="AV10" s="31"/>
      <c r="AW10" s="31"/>
      <c r="AX10" s="31"/>
      <c r="AY10" s="31"/>
      <c r="AZ10" s="31"/>
      <c r="BA10" s="2"/>
      <c r="BB10" s="2"/>
      <c r="BC10" s="2"/>
      <c r="BD10" s="30"/>
      <c r="BE10" s="30"/>
      <c r="BF10" s="31"/>
      <c r="BG10" s="30"/>
      <c r="BH10" s="2"/>
      <c r="BI10" s="2"/>
      <c r="BJ10" s="2"/>
      <c r="BK10" s="2"/>
      <c r="BL10" s="3"/>
      <c r="BM10" s="3"/>
      <c r="BN10" s="23"/>
    </row>
    <row r="11" spans="1:66" s="35" customFormat="1" ht="19.8" x14ac:dyDescent="0.5">
      <c r="A11" s="28"/>
      <c r="B11" s="38"/>
      <c r="C11" s="2" t="s">
        <v>18</v>
      </c>
      <c r="D11" s="33"/>
      <c r="E11" s="32"/>
      <c r="F11" s="32"/>
      <c r="G11" s="32"/>
      <c r="H11" s="32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C11" s="33"/>
      <c r="AD11" s="32"/>
      <c r="AE11" s="34"/>
      <c r="AF11" s="32"/>
      <c r="AG11" s="32"/>
      <c r="AH11" s="32"/>
      <c r="AI11" s="33"/>
      <c r="AJ11" s="33"/>
      <c r="AK11" s="33"/>
      <c r="AL11" s="34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N11" s="23"/>
    </row>
    <row r="12" spans="1:66" ht="32.25" customHeight="1" x14ac:dyDescent="0.4">
      <c r="A12" s="39"/>
      <c r="B12" s="90" t="s">
        <v>19</v>
      </c>
      <c r="C12" s="91"/>
      <c r="D12" s="91"/>
      <c r="E12" s="91"/>
      <c r="F12" s="92" t="s">
        <v>20</v>
      </c>
      <c r="G12" s="92"/>
      <c r="H12" s="92"/>
      <c r="I12" s="92"/>
      <c r="J12" s="92" t="s">
        <v>21</v>
      </c>
      <c r="K12" s="92"/>
      <c r="L12" s="92"/>
      <c r="M12" s="92"/>
      <c r="N12" s="92"/>
      <c r="O12" s="92" t="s">
        <v>22</v>
      </c>
      <c r="P12" s="92"/>
      <c r="Q12" s="92"/>
      <c r="R12" s="92"/>
      <c r="S12" s="92"/>
      <c r="T12" s="92"/>
      <c r="U12" s="93" t="s">
        <v>23</v>
      </c>
      <c r="V12" s="94"/>
      <c r="W12" s="94"/>
      <c r="X12" s="94"/>
      <c r="Y12" s="94"/>
      <c r="Z12" s="94"/>
      <c r="AA12" s="95" t="s">
        <v>24</v>
      </c>
      <c r="AB12" s="96"/>
      <c r="AC12" s="96"/>
      <c r="AD12" s="96"/>
      <c r="AE12" s="96"/>
      <c r="AF12" s="96"/>
      <c r="AG12" s="117" t="s">
        <v>25</v>
      </c>
      <c r="AH12" s="118"/>
      <c r="AI12" s="118"/>
      <c r="AJ12" s="118"/>
      <c r="AK12" s="92" t="s">
        <v>26</v>
      </c>
      <c r="AL12" s="92"/>
      <c r="AM12" s="92"/>
      <c r="AN12" s="92"/>
      <c r="AO12" s="84" t="s">
        <v>27</v>
      </c>
      <c r="AP12" s="85"/>
      <c r="AQ12" s="85"/>
      <c r="AR12" s="85"/>
      <c r="AS12" s="84" t="s">
        <v>28</v>
      </c>
      <c r="AT12" s="85"/>
      <c r="AU12" s="85"/>
      <c r="AV12" s="85"/>
      <c r="AW12" s="84" t="s">
        <v>29</v>
      </c>
      <c r="AX12" s="85"/>
      <c r="AY12" s="85"/>
      <c r="AZ12" s="85"/>
      <c r="BA12" s="84" t="s">
        <v>30</v>
      </c>
      <c r="BB12" s="85"/>
      <c r="BC12" s="85"/>
      <c r="BD12" s="85"/>
      <c r="BE12" s="84" t="s">
        <v>31</v>
      </c>
      <c r="BF12" s="85"/>
      <c r="BG12" s="85"/>
      <c r="BH12" s="85"/>
      <c r="BI12" s="84" t="s">
        <v>32</v>
      </c>
      <c r="BJ12" s="85"/>
      <c r="BK12" s="85"/>
      <c r="BL12" s="86"/>
      <c r="BM12" s="86"/>
      <c r="BN12" s="87"/>
    </row>
    <row r="13" spans="1:66" ht="15.75" customHeight="1" x14ac:dyDescent="0.4">
      <c r="A13" s="39"/>
      <c r="B13" s="90"/>
      <c r="C13" s="91"/>
      <c r="D13" s="91"/>
      <c r="E13" s="91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7" t="s">
        <v>33</v>
      </c>
      <c r="V13" s="97"/>
      <c r="W13" s="97"/>
      <c r="X13" s="88" t="s">
        <v>34</v>
      </c>
      <c r="Y13" s="88"/>
      <c r="Z13" s="88"/>
      <c r="AA13" s="97" t="s">
        <v>33</v>
      </c>
      <c r="AB13" s="97"/>
      <c r="AC13" s="97"/>
      <c r="AD13" s="88" t="s">
        <v>34</v>
      </c>
      <c r="AE13" s="88"/>
      <c r="AF13" s="88"/>
      <c r="AG13" s="118"/>
      <c r="AH13" s="118"/>
      <c r="AI13" s="118"/>
      <c r="AJ13" s="118"/>
      <c r="AK13" s="92"/>
      <c r="AL13" s="92"/>
      <c r="AM13" s="92"/>
      <c r="AN13" s="92"/>
      <c r="AO13" s="88" t="s">
        <v>35</v>
      </c>
      <c r="AP13" s="88"/>
      <c r="AQ13" s="88"/>
      <c r="AR13" s="88"/>
      <c r="AS13" s="88" t="s">
        <v>36</v>
      </c>
      <c r="AT13" s="88"/>
      <c r="AU13" s="88"/>
      <c r="AV13" s="88"/>
      <c r="AW13" s="116" t="s">
        <v>37</v>
      </c>
      <c r="AX13" s="116"/>
      <c r="AY13" s="116"/>
      <c r="AZ13" s="116"/>
      <c r="BA13" s="88" t="s">
        <v>38</v>
      </c>
      <c r="BB13" s="88"/>
      <c r="BC13" s="88"/>
      <c r="BD13" s="88"/>
      <c r="BE13" s="88" t="s">
        <v>39</v>
      </c>
      <c r="BF13" s="88"/>
      <c r="BG13" s="88"/>
      <c r="BH13" s="88"/>
      <c r="BI13" s="88" t="s">
        <v>40</v>
      </c>
      <c r="BJ13" s="88"/>
      <c r="BK13" s="88"/>
      <c r="BL13" s="98"/>
      <c r="BM13" s="98"/>
      <c r="BN13" s="99"/>
    </row>
    <row r="14" spans="1:66" ht="20.100000000000001" customHeight="1" x14ac:dyDescent="0.55000000000000004">
      <c r="B14" s="100">
        <v>45839</v>
      </c>
      <c r="C14" s="101"/>
      <c r="D14" s="101"/>
      <c r="E14" s="101"/>
      <c r="F14" s="102" t="s">
        <v>65</v>
      </c>
      <c r="G14" s="103"/>
      <c r="H14" s="103"/>
      <c r="I14" s="104"/>
      <c r="J14" s="102" t="s">
        <v>64</v>
      </c>
      <c r="K14" s="103"/>
      <c r="L14" s="103"/>
      <c r="M14" s="103"/>
      <c r="N14" s="104"/>
      <c r="O14" s="102" t="s">
        <v>66</v>
      </c>
      <c r="P14" s="103"/>
      <c r="Q14" s="103"/>
      <c r="R14" s="103"/>
      <c r="S14" s="103"/>
      <c r="T14" s="104"/>
      <c r="U14" s="105" t="s">
        <v>61</v>
      </c>
      <c r="V14" s="105"/>
      <c r="W14" s="105"/>
      <c r="X14" s="105" t="s">
        <v>67</v>
      </c>
      <c r="Y14" s="105"/>
      <c r="Z14" s="105"/>
      <c r="AA14" s="106"/>
      <c r="AB14" s="107"/>
      <c r="AC14" s="108"/>
      <c r="AD14" s="107"/>
      <c r="AE14" s="107"/>
      <c r="AF14" s="108"/>
      <c r="AG14" s="119">
        <f>AD14-AA14</f>
        <v>0</v>
      </c>
      <c r="AH14" s="119"/>
      <c r="AI14" s="119"/>
      <c r="AJ14" s="119"/>
      <c r="AK14" s="105">
        <v>6</v>
      </c>
      <c r="AL14" s="105"/>
      <c r="AM14" s="105"/>
      <c r="AN14" s="105"/>
      <c r="AO14" s="115">
        <f>AK14*AG14</f>
        <v>0</v>
      </c>
      <c r="AP14" s="115"/>
      <c r="AQ14" s="115"/>
      <c r="AR14" s="115"/>
      <c r="AS14" s="109"/>
      <c r="AT14" s="110"/>
      <c r="AU14" s="110"/>
      <c r="AV14" s="111"/>
      <c r="AW14" s="109">
        <v>48</v>
      </c>
      <c r="AX14" s="110"/>
      <c r="AY14" s="110"/>
      <c r="AZ14" s="111"/>
      <c r="BA14" s="109"/>
      <c r="BB14" s="110"/>
      <c r="BC14" s="110"/>
      <c r="BD14" s="111"/>
      <c r="BE14" s="109"/>
      <c r="BF14" s="110"/>
      <c r="BG14" s="110"/>
      <c r="BH14" s="111"/>
      <c r="BI14" s="112">
        <f>SUM(AO14:BH14)</f>
        <v>48</v>
      </c>
      <c r="BJ14" s="112"/>
      <c r="BK14" s="112"/>
      <c r="BL14" s="113"/>
      <c r="BM14" s="113"/>
      <c r="BN14" s="114"/>
    </row>
    <row r="15" spans="1:66" ht="20.100000000000001" customHeight="1" x14ac:dyDescent="0.55000000000000004">
      <c r="B15" s="100">
        <v>45839</v>
      </c>
      <c r="C15" s="101"/>
      <c r="D15" s="101"/>
      <c r="E15" s="101"/>
      <c r="F15" s="102" t="s">
        <v>65</v>
      </c>
      <c r="G15" s="103"/>
      <c r="H15" s="103"/>
      <c r="I15" s="104"/>
      <c r="J15" s="102" t="s">
        <v>64</v>
      </c>
      <c r="K15" s="103"/>
      <c r="L15" s="103"/>
      <c r="M15" s="103"/>
      <c r="N15" s="104"/>
      <c r="O15" s="102" t="s">
        <v>66</v>
      </c>
      <c r="P15" s="103"/>
      <c r="Q15" s="103"/>
      <c r="R15" s="103"/>
      <c r="S15" s="103"/>
      <c r="T15" s="104"/>
      <c r="U15" s="105" t="s">
        <v>67</v>
      </c>
      <c r="V15" s="105"/>
      <c r="W15" s="105"/>
      <c r="X15" s="105" t="s">
        <v>61</v>
      </c>
      <c r="Y15" s="105"/>
      <c r="Z15" s="105"/>
      <c r="AA15" s="106"/>
      <c r="AB15" s="107"/>
      <c r="AC15" s="108"/>
      <c r="AD15" s="107"/>
      <c r="AE15" s="107"/>
      <c r="AF15" s="108"/>
      <c r="AG15" s="119">
        <f>AD15-AA15</f>
        <v>0</v>
      </c>
      <c r="AH15" s="119"/>
      <c r="AI15" s="119"/>
      <c r="AJ15" s="119"/>
      <c r="AK15" s="105">
        <v>6</v>
      </c>
      <c r="AL15" s="105"/>
      <c r="AM15" s="105"/>
      <c r="AN15" s="105"/>
      <c r="AO15" s="115">
        <f>AK15*AG15</f>
        <v>0</v>
      </c>
      <c r="AP15" s="115"/>
      <c r="AQ15" s="115"/>
      <c r="AR15" s="115"/>
      <c r="AS15" s="109"/>
      <c r="AT15" s="110"/>
      <c r="AU15" s="110"/>
      <c r="AV15" s="111"/>
      <c r="AW15" s="109">
        <v>48</v>
      </c>
      <c r="AX15" s="110"/>
      <c r="AY15" s="110"/>
      <c r="AZ15" s="111"/>
      <c r="BA15" s="109"/>
      <c r="BB15" s="110"/>
      <c r="BC15" s="110"/>
      <c r="BD15" s="111"/>
      <c r="BE15" s="109"/>
      <c r="BF15" s="110"/>
      <c r="BG15" s="110"/>
      <c r="BH15" s="111"/>
      <c r="BI15" s="112">
        <f t="shared" ref="BI15:BI31" si="0">SUM(AO15:BH15)</f>
        <v>48</v>
      </c>
      <c r="BJ15" s="112"/>
      <c r="BK15" s="112"/>
      <c r="BL15" s="113"/>
      <c r="BM15" s="113"/>
      <c r="BN15" s="114"/>
    </row>
    <row r="16" spans="1:66" ht="20.100000000000001" customHeight="1" x14ac:dyDescent="0.55000000000000004">
      <c r="B16" s="100">
        <v>45840</v>
      </c>
      <c r="C16" s="101"/>
      <c r="D16" s="101"/>
      <c r="E16" s="101"/>
      <c r="F16" s="102" t="s">
        <v>65</v>
      </c>
      <c r="G16" s="103"/>
      <c r="H16" s="103"/>
      <c r="I16" s="104"/>
      <c r="J16" s="102" t="s">
        <v>64</v>
      </c>
      <c r="K16" s="103"/>
      <c r="L16" s="103"/>
      <c r="M16" s="103"/>
      <c r="N16" s="104"/>
      <c r="O16" s="102" t="s">
        <v>66</v>
      </c>
      <c r="P16" s="103"/>
      <c r="Q16" s="103"/>
      <c r="R16" s="103"/>
      <c r="S16" s="103"/>
      <c r="T16" s="104"/>
      <c r="U16" s="105" t="s">
        <v>61</v>
      </c>
      <c r="V16" s="105"/>
      <c r="W16" s="105"/>
      <c r="X16" s="105" t="s">
        <v>67</v>
      </c>
      <c r="Y16" s="105"/>
      <c r="Z16" s="105"/>
      <c r="AA16" s="106"/>
      <c r="AB16" s="107"/>
      <c r="AC16" s="108"/>
      <c r="AD16" s="107"/>
      <c r="AE16" s="107"/>
      <c r="AF16" s="108"/>
      <c r="AG16" s="119">
        <f t="shared" ref="AG16:AG31" si="1">AD16-AA16</f>
        <v>0</v>
      </c>
      <c r="AH16" s="119"/>
      <c r="AI16" s="119"/>
      <c r="AJ16" s="119"/>
      <c r="AK16" s="105">
        <v>6</v>
      </c>
      <c r="AL16" s="105"/>
      <c r="AM16" s="105"/>
      <c r="AN16" s="105"/>
      <c r="AO16" s="115">
        <f t="shared" ref="AO16:AO31" si="2">AK16*AG16</f>
        <v>0</v>
      </c>
      <c r="AP16" s="115"/>
      <c r="AQ16" s="115"/>
      <c r="AR16" s="115"/>
      <c r="AS16" s="109"/>
      <c r="AT16" s="110"/>
      <c r="AU16" s="110"/>
      <c r="AV16" s="111"/>
      <c r="AW16" s="109">
        <v>48</v>
      </c>
      <c r="AX16" s="110"/>
      <c r="AY16" s="110"/>
      <c r="AZ16" s="111"/>
      <c r="BA16" s="109"/>
      <c r="BB16" s="110"/>
      <c r="BC16" s="110"/>
      <c r="BD16" s="111"/>
      <c r="BE16" s="109"/>
      <c r="BF16" s="110"/>
      <c r="BG16" s="110"/>
      <c r="BH16" s="111"/>
      <c r="BI16" s="112">
        <f t="shared" si="0"/>
        <v>48</v>
      </c>
      <c r="BJ16" s="112"/>
      <c r="BK16" s="112"/>
      <c r="BL16" s="113"/>
      <c r="BM16" s="113"/>
      <c r="BN16" s="114"/>
    </row>
    <row r="17" spans="2:66" ht="20.100000000000001" customHeight="1" x14ac:dyDescent="0.55000000000000004">
      <c r="B17" s="100">
        <v>45840</v>
      </c>
      <c r="C17" s="101"/>
      <c r="D17" s="101"/>
      <c r="E17" s="101"/>
      <c r="F17" s="102" t="s">
        <v>65</v>
      </c>
      <c r="G17" s="103"/>
      <c r="H17" s="103"/>
      <c r="I17" s="104"/>
      <c r="J17" s="102" t="s">
        <v>64</v>
      </c>
      <c r="K17" s="103"/>
      <c r="L17" s="103"/>
      <c r="M17" s="103"/>
      <c r="N17" s="104"/>
      <c r="O17" s="102" t="s">
        <v>66</v>
      </c>
      <c r="P17" s="103"/>
      <c r="Q17" s="103"/>
      <c r="R17" s="103"/>
      <c r="S17" s="103"/>
      <c r="T17" s="104"/>
      <c r="U17" s="105" t="s">
        <v>67</v>
      </c>
      <c r="V17" s="105"/>
      <c r="W17" s="105"/>
      <c r="X17" s="105" t="s">
        <v>61</v>
      </c>
      <c r="Y17" s="105"/>
      <c r="Z17" s="105"/>
      <c r="AA17" s="106"/>
      <c r="AB17" s="107"/>
      <c r="AC17" s="108"/>
      <c r="AD17" s="107"/>
      <c r="AE17" s="107"/>
      <c r="AF17" s="108"/>
      <c r="AG17" s="119">
        <f t="shared" si="1"/>
        <v>0</v>
      </c>
      <c r="AH17" s="119"/>
      <c r="AI17" s="119"/>
      <c r="AJ17" s="119"/>
      <c r="AK17" s="105">
        <v>6</v>
      </c>
      <c r="AL17" s="105"/>
      <c r="AM17" s="105"/>
      <c r="AN17" s="105"/>
      <c r="AO17" s="115">
        <f t="shared" si="2"/>
        <v>0</v>
      </c>
      <c r="AP17" s="115"/>
      <c r="AQ17" s="115"/>
      <c r="AR17" s="115"/>
      <c r="AS17" s="109"/>
      <c r="AT17" s="110"/>
      <c r="AU17" s="110"/>
      <c r="AV17" s="111"/>
      <c r="AW17" s="109">
        <v>48</v>
      </c>
      <c r="AX17" s="110"/>
      <c r="AY17" s="110"/>
      <c r="AZ17" s="111"/>
      <c r="BA17" s="109"/>
      <c r="BB17" s="110"/>
      <c r="BC17" s="110"/>
      <c r="BD17" s="111"/>
      <c r="BE17" s="109"/>
      <c r="BF17" s="110"/>
      <c r="BG17" s="110"/>
      <c r="BH17" s="111"/>
      <c r="BI17" s="112">
        <f t="shared" si="0"/>
        <v>48</v>
      </c>
      <c r="BJ17" s="112"/>
      <c r="BK17" s="112"/>
      <c r="BL17" s="113"/>
      <c r="BM17" s="113"/>
      <c r="BN17" s="114"/>
    </row>
    <row r="18" spans="2:66" ht="20.100000000000001" customHeight="1" x14ac:dyDescent="0.55000000000000004">
      <c r="B18" s="100">
        <v>45841</v>
      </c>
      <c r="C18" s="101"/>
      <c r="D18" s="101"/>
      <c r="E18" s="101"/>
      <c r="F18" s="102" t="s">
        <v>65</v>
      </c>
      <c r="G18" s="103"/>
      <c r="H18" s="103"/>
      <c r="I18" s="104"/>
      <c r="J18" s="102" t="s">
        <v>64</v>
      </c>
      <c r="K18" s="103"/>
      <c r="L18" s="103"/>
      <c r="M18" s="103"/>
      <c r="N18" s="104"/>
      <c r="O18" s="102" t="s">
        <v>66</v>
      </c>
      <c r="P18" s="103"/>
      <c r="Q18" s="103"/>
      <c r="R18" s="103"/>
      <c r="S18" s="103"/>
      <c r="T18" s="104"/>
      <c r="U18" s="105" t="s">
        <v>61</v>
      </c>
      <c r="V18" s="105"/>
      <c r="W18" s="105"/>
      <c r="X18" s="105" t="s">
        <v>67</v>
      </c>
      <c r="Y18" s="105"/>
      <c r="Z18" s="105"/>
      <c r="AA18" s="106"/>
      <c r="AB18" s="107"/>
      <c r="AC18" s="108"/>
      <c r="AD18" s="107"/>
      <c r="AE18" s="107"/>
      <c r="AF18" s="108"/>
      <c r="AG18" s="119">
        <f t="shared" si="1"/>
        <v>0</v>
      </c>
      <c r="AH18" s="119"/>
      <c r="AI18" s="119"/>
      <c r="AJ18" s="119"/>
      <c r="AK18" s="105">
        <v>6</v>
      </c>
      <c r="AL18" s="105"/>
      <c r="AM18" s="105"/>
      <c r="AN18" s="105"/>
      <c r="AO18" s="115">
        <f t="shared" si="2"/>
        <v>0</v>
      </c>
      <c r="AP18" s="115"/>
      <c r="AQ18" s="115"/>
      <c r="AR18" s="115"/>
      <c r="AS18" s="109"/>
      <c r="AT18" s="110"/>
      <c r="AU18" s="110"/>
      <c r="AV18" s="111"/>
      <c r="AW18" s="109">
        <v>48</v>
      </c>
      <c r="AX18" s="110"/>
      <c r="AY18" s="110"/>
      <c r="AZ18" s="111"/>
      <c r="BA18" s="109"/>
      <c r="BB18" s="110"/>
      <c r="BC18" s="110"/>
      <c r="BD18" s="111"/>
      <c r="BE18" s="109"/>
      <c r="BF18" s="110"/>
      <c r="BG18" s="110"/>
      <c r="BH18" s="111"/>
      <c r="BI18" s="112">
        <f t="shared" si="0"/>
        <v>48</v>
      </c>
      <c r="BJ18" s="112"/>
      <c r="BK18" s="112"/>
      <c r="BL18" s="113"/>
      <c r="BM18" s="113"/>
      <c r="BN18" s="114"/>
    </row>
    <row r="19" spans="2:66" ht="20.100000000000001" customHeight="1" x14ac:dyDescent="0.55000000000000004">
      <c r="B19" s="100">
        <v>45841</v>
      </c>
      <c r="C19" s="101"/>
      <c r="D19" s="101"/>
      <c r="E19" s="101"/>
      <c r="F19" s="102" t="s">
        <v>65</v>
      </c>
      <c r="G19" s="103"/>
      <c r="H19" s="103"/>
      <c r="I19" s="104"/>
      <c r="J19" s="102" t="s">
        <v>64</v>
      </c>
      <c r="K19" s="103"/>
      <c r="L19" s="103"/>
      <c r="M19" s="103"/>
      <c r="N19" s="104"/>
      <c r="O19" s="102" t="s">
        <v>66</v>
      </c>
      <c r="P19" s="103"/>
      <c r="Q19" s="103"/>
      <c r="R19" s="103"/>
      <c r="S19" s="103"/>
      <c r="T19" s="104"/>
      <c r="U19" s="105" t="s">
        <v>67</v>
      </c>
      <c r="V19" s="105"/>
      <c r="W19" s="105"/>
      <c r="X19" s="105" t="s">
        <v>61</v>
      </c>
      <c r="Y19" s="105"/>
      <c r="Z19" s="105"/>
      <c r="AA19" s="106"/>
      <c r="AB19" s="107"/>
      <c r="AC19" s="108"/>
      <c r="AD19" s="107"/>
      <c r="AE19" s="107"/>
      <c r="AF19" s="108"/>
      <c r="AG19" s="119">
        <f t="shared" si="1"/>
        <v>0</v>
      </c>
      <c r="AH19" s="119"/>
      <c r="AI19" s="119"/>
      <c r="AJ19" s="119"/>
      <c r="AK19" s="105">
        <v>6</v>
      </c>
      <c r="AL19" s="105"/>
      <c r="AM19" s="105"/>
      <c r="AN19" s="105"/>
      <c r="AO19" s="115">
        <f t="shared" si="2"/>
        <v>0</v>
      </c>
      <c r="AP19" s="115"/>
      <c r="AQ19" s="115"/>
      <c r="AR19" s="115"/>
      <c r="AS19" s="109"/>
      <c r="AT19" s="110"/>
      <c r="AU19" s="110"/>
      <c r="AV19" s="111"/>
      <c r="AW19" s="109">
        <v>48</v>
      </c>
      <c r="AX19" s="110"/>
      <c r="AY19" s="110"/>
      <c r="AZ19" s="111"/>
      <c r="BA19" s="109"/>
      <c r="BB19" s="110"/>
      <c r="BC19" s="110"/>
      <c r="BD19" s="111"/>
      <c r="BE19" s="109"/>
      <c r="BF19" s="110"/>
      <c r="BG19" s="110"/>
      <c r="BH19" s="111"/>
      <c r="BI19" s="112">
        <f t="shared" si="0"/>
        <v>48</v>
      </c>
      <c r="BJ19" s="112"/>
      <c r="BK19" s="112"/>
      <c r="BL19" s="113"/>
      <c r="BM19" s="113"/>
      <c r="BN19" s="114"/>
    </row>
    <row r="20" spans="2:66" ht="20.100000000000001" customHeight="1" x14ac:dyDescent="0.55000000000000004">
      <c r="B20" s="100">
        <v>45842</v>
      </c>
      <c r="C20" s="101"/>
      <c r="D20" s="101"/>
      <c r="E20" s="101"/>
      <c r="F20" s="102" t="s">
        <v>65</v>
      </c>
      <c r="G20" s="103"/>
      <c r="H20" s="103"/>
      <c r="I20" s="104"/>
      <c r="J20" s="102" t="s">
        <v>64</v>
      </c>
      <c r="K20" s="103"/>
      <c r="L20" s="103"/>
      <c r="M20" s="103"/>
      <c r="N20" s="104"/>
      <c r="O20" s="102" t="s">
        <v>66</v>
      </c>
      <c r="P20" s="103"/>
      <c r="Q20" s="103"/>
      <c r="R20" s="103"/>
      <c r="S20" s="103"/>
      <c r="T20" s="104"/>
      <c r="U20" s="105" t="s">
        <v>61</v>
      </c>
      <c r="V20" s="105"/>
      <c r="W20" s="105"/>
      <c r="X20" s="105" t="s">
        <v>67</v>
      </c>
      <c r="Y20" s="105"/>
      <c r="Z20" s="105"/>
      <c r="AA20" s="106"/>
      <c r="AB20" s="107"/>
      <c r="AC20" s="108"/>
      <c r="AD20" s="107"/>
      <c r="AE20" s="107"/>
      <c r="AF20" s="108"/>
      <c r="AG20" s="119">
        <f t="shared" si="1"/>
        <v>0</v>
      </c>
      <c r="AH20" s="119"/>
      <c r="AI20" s="119"/>
      <c r="AJ20" s="119"/>
      <c r="AK20" s="105">
        <v>6</v>
      </c>
      <c r="AL20" s="105"/>
      <c r="AM20" s="105"/>
      <c r="AN20" s="105"/>
      <c r="AO20" s="115">
        <f t="shared" si="2"/>
        <v>0</v>
      </c>
      <c r="AP20" s="115"/>
      <c r="AQ20" s="115"/>
      <c r="AR20" s="115"/>
      <c r="AS20" s="109"/>
      <c r="AT20" s="110"/>
      <c r="AU20" s="110"/>
      <c r="AV20" s="111"/>
      <c r="AW20" s="109">
        <v>48</v>
      </c>
      <c r="AX20" s="110"/>
      <c r="AY20" s="110"/>
      <c r="AZ20" s="111"/>
      <c r="BA20" s="109"/>
      <c r="BB20" s="110"/>
      <c r="BC20" s="110"/>
      <c r="BD20" s="111"/>
      <c r="BE20" s="109"/>
      <c r="BF20" s="110"/>
      <c r="BG20" s="110"/>
      <c r="BH20" s="111"/>
      <c r="BI20" s="112">
        <f t="shared" si="0"/>
        <v>48</v>
      </c>
      <c r="BJ20" s="112"/>
      <c r="BK20" s="112"/>
      <c r="BL20" s="113"/>
      <c r="BM20" s="113"/>
      <c r="BN20" s="114"/>
    </row>
    <row r="21" spans="2:66" ht="20.100000000000001" customHeight="1" x14ac:dyDescent="0.55000000000000004">
      <c r="B21" s="100">
        <v>45842</v>
      </c>
      <c r="C21" s="101"/>
      <c r="D21" s="101"/>
      <c r="E21" s="101"/>
      <c r="F21" s="102" t="s">
        <v>65</v>
      </c>
      <c r="G21" s="103"/>
      <c r="H21" s="103"/>
      <c r="I21" s="104"/>
      <c r="J21" s="102" t="s">
        <v>64</v>
      </c>
      <c r="K21" s="103"/>
      <c r="L21" s="103"/>
      <c r="M21" s="103"/>
      <c r="N21" s="104"/>
      <c r="O21" s="102" t="s">
        <v>66</v>
      </c>
      <c r="P21" s="103"/>
      <c r="Q21" s="103"/>
      <c r="R21" s="103"/>
      <c r="S21" s="103"/>
      <c r="T21" s="104"/>
      <c r="U21" s="105" t="s">
        <v>67</v>
      </c>
      <c r="V21" s="105"/>
      <c r="W21" s="105"/>
      <c r="X21" s="105" t="s">
        <v>61</v>
      </c>
      <c r="Y21" s="105"/>
      <c r="Z21" s="105"/>
      <c r="AA21" s="106"/>
      <c r="AB21" s="107"/>
      <c r="AC21" s="108"/>
      <c r="AD21" s="107"/>
      <c r="AE21" s="107"/>
      <c r="AF21" s="108"/>
      <c r="AG21" s="119">
        <f t="shared" si="1"/>
        <v>0</v>
      </c>
      <c r="AH21" s="119"/>
      <c r="AI21" s="119"/>
      <c r="AJ21" s="119"/>
      <c r="AK21" s="105">
        <v>6</v>
      </c>
      <c r="AL21" s="105"/>
      <c r="AM21" s="105"/>
      <c r="AN21" s="105"/>
      <c r="AO21" s="115">
        <f t="shared" si="2"/>
        <v>0</v>
      </c>
      <c r="AP21" s="115"/>
      <c r="AQ21" s="115"/>
      <c r="AR21" s="115"/>
      <c r="AS21" s="109"/>
      <c r="AT21" s="110"/>
      <c r="AU21" s="110"/>
      <c r="AV21" s="111"/>
      <c r="AW21" s="109">
        <v>48</v>
      </c>
      <c r="AX21" s="110"/>
      <c r="AY21" s="110"/>
      <c r="AZ21" s="111"/>
      <c r="BA21" s="109"/>
      <c r="BB21" s="110"/>
      <c r="BC21" s="110"/>
      <c r="BD21" s="111"/>
      <c r="BE21" s="109"/>
      <c r="BF21" s="110"/>
      <c r="BG21" s="110"/>
      <c r="BH21" s="111"/>
      <c r="BI21" s="112">
        <f t="shared" si="0"/>
        <v>48</v>
      </c>
      <c r="BJ21" s="112"/>
      <c r="BK21" s="112"/>
      <c r="BL21" s="113"/>
      <c r="BM21" s="113"/>
      <c r="BN21" s="114"/>
    </row>
    <row r="22" spans="2:66" ht="20.100000000000001" customHeight="1" x14ac:dyDescent="0.55000000000000004">
      <c r="B22" s="100">
        <v>45852</v>
      </c>
      <c r="C22" s="101"/>
      <c r="D22" s="101"/>
      <c r="E22" s="101"/>
      <c r="F22" s="102" t="s">
        <v>65</v>
      </c>
      <c r="G22" s="103"/>
      <c r="H22" s="103"/>
      <c r="I22" s="104"/>
      <c r="J22" s="102" t="s">
        <v>64</v>
      </c>
      <c r="K22" s="103"/>
      <c r="L22" s="103"/>
      <c r="M22" s="103"/>
      <c r="N22" s="104"/>
      <c r="O22" s="102" t="s">
        <v>66</v>
      </c>
      <c r="P22" s="103"/>
      <c r="Q22" s="103"/>
      <c r="R22" s="103"/>
      <c r="S22" s="103"/>
      <c r="T22" s="104"/>
      <c r="U22" s="105" t="s">
        <v>61</v>
      </c>
      <c r="V22" s="105"/>
      <c r="W22" s="105"/>
      <c r="X22" s="105" t="s">
        <v>67</v>
      </c>
      <c r="Y22" s="105"/>
      <c r="Z22" s="105"/>
      <c r="AA22" s="106"/>
      <c r="AB22" s="107"/>
      <c r="AC22" s="108"/>
      <c r="AD22" s="107"/>
      <c r="AE22" s="107"/>
      <c r="AF22" s="108"/>
      <c r="AG22" s="119">
        <f t="shared" si="1"/>
        <v>0</v>
      </c>
      <c r="AH22" s="119"/>
      <c r="AI22" s="119"/>
      <c r="AJ22" s="119"/>
      <c r="AK22" s="105">
        <v>6</v>
      </c>
      <c r="AL22" s="105"/>
      <c r="AM22" s="105"/>
      <c r="AN22" s="105"/>
      <c r="AO22" s="115">
        <f t="shared" si="2"/>
        <v>0</v>
      </c>
      <c r="AP22" s="115"/>
      <c r="AQ22" s="115"/>
      <c r="AR22" s="115"/>
      <c r="AS22" s="109"/>
      <c r="AT22" s="110"/>
      <c r="AU22" s="110"/>
      <c r="AV22" s="111"/>
      <c r="AW22" s="109">
        <v>48</v>
      </c>
      <c r="AX22" s="110"/>
      <c r="AY22" s="110"/>
      <c r="AZ22" s="111"/>
      <c r="BA22" s="109"/>
      <c r="BB22" s="110"/>
      <c r="BC22" s="110"/>
      <c r="BD22" s="111"/>
      <c r="BE22" s="109"/>
      <c r="BF22" s="110"/>
      <c r="BG22" s="110"/>
      <c r="BH22" s="111"/>
      <c r="BI22" s="112">
        <f t="shared" si="0"/>
        <v>48</v>
      </c>
      <c r="BJ22" s="112"/>
      <c r="BK22" s="112"/>
      <c r="BL22" s="113"/>
      <c r="BM22" s="113"/>
      <c r="BN22" s="114"/>
    </row>
    <row r="23" spans="2:66" ht="20.100000000000001" customHeight="1" x14ac:dyDescent="0.55000000000000004">
      <c r="B23" s="100">
        <v>45852</v>
      </c>
      <c r="C23" s="101"/>
      <c r="D23" s="101"/>
      <c r="E23" s="101"/>
      <c r="F23" s="102" t="s">
        <v>65</v>
      </c>
      <c r="G23" s="103"/>
      <c r="H23" s="103"/>
      <c r="I23" s="104"/>
      <c r="J23" s="102" t="s">
        <v>64</v>
      </c>
      <c r="K23" s="103"/>
      <c r="L23" s="103"/>
      <c r="M23" s="103"/>
      <c r="N23" s="104"/>
      <c r="O23" s="102" t="s">
        <v>66</v>
      </c>
      <c r="P23" s="103"/>
      <c r="Q23" s="103"/>
      <c r="R23" s="103"/>
      <c r="S23" s="103"/>
      <c r="T23" s="104"/>
      <c r="U23" s="105" t="s">
        <v>67</v>
      </c>
      <c r="V23" s="105"/>
      <c r="W23" s="105"/>
      <c r="X23" s="105" t="s">
        <v>61</v>
      </c>
      <c r="Y23" s="105"/>
      <c r="Z23" s="105"/>
      <c r="AA23" s="106"/>
      <c r="AB23" s="107"/>
      <c r="AC23" s="108"/>
      <c r="AD23" s="107"/>
      <c r="AE23" s="107"/>
      <c r="AF23" s="108"/>
      <c r="AG23" s="119">
        <f t="shared" si="1"/>
        <v>0</v>
      </c>
      <c r="AH23" s="119"/>
      <c r="AI23" s="119"/>
      <c r="AJ23" s="119"/>
      <c r="AK23" s="105">
        <v>6</v>
      </c>
      <c r="AL23" s="105"/>
      <c r="AM23" s="105"/>
      <c r="AN23" s="105"/>
      <c r="AO23" s="115">
        <f t="shared" si="2"/>
        <v>0</v>
      </c>
      <c r="AP23" s="115"/>
      <c r="AQ23" s="115"/>
      <c r="AR23" s="115"/>
      <c r="AS23" s="109"/>
      <c r="AT23" s="110"/>
      <c r="AU23" s="110"/>
      <c r="AV23" s="111"/>
      <c r="AW23" s="109">
        <v>48</v>
      </c>
      <c r="AX23" s="110"/>
      <c r="AY23" s="110"/>
      <c r="AZ23" s="111"/>
      <c r="BA23" s="109"/>
      <c r="BB23" s="110"/>
      <c r="BC23" s="110"/>
      <c r="BD23" s="111"/>
      <c r="BE23" s="109"/>
      <c r="BF23" s="110"/>
      <c r="BG23" s="110"/>
      <c r="BH23" s="111"/>
      <c r="BI23" s="112">
        <f t="shared" si="0"/>
        <v>48</v>
      </c>
      <c r="BJ23" s="112"/>
      <c r="BK23" s="112"/>
      <c r="BL23" s="113"/>
      <c r="BM23" s="113"/>
      <c r="BN23" s="114"/>
    </row>
    <row r="24" spans="2:66" ht="20.100000000000001" customHeight="1" x14ac:dyDescent="0.55000000000000004">
      <c r="B24" s="100">
        <v>45853</v>
      </c>
      <c r="C24" s="101"/>
      <c r="D24" s="101"/>
      <c r="E24" s="101"/>
      <c r="F24" s="102" t="s">
        <v>65</v>
      </c>
      <c r="G24" s="103"/>
      <c r="H24" s="103"/>
      <c r="I24" s="104"/>
      <c r="J24" s="102" t="s">
        <v>64</v>
      </c>
      <c r="K24" s="103"/>
      <c r="L24" s="103"/>
      <c r="M24" s="103"/>
      <c r="N24" s="104"/>
      <c r="O24" s="102" t="s">
        <v>66</v>
      </c>
      <c r="P24" s="103"/>
      <c r="Q24" s="103"/>
      <c r="R24" s="103"/>
      <c r="S24" s="103"/>
      <c r="T24" s="104"/>
      <c r="U24" s="105" t="s">
        <v>61</v>
      </c>
      <c r="V24" s="105"/>
      <c r="W24" s="105"/>
      <c r="X24" s="105" t="s">
        <v>67</v>
      </c>
      <c r="Y24" s="105"/>
      <c r="Z24" s="105"/>
      <c r="AA24" s="106"/>
      <c r="AB24" s="107"/>
      <c r="AC24" s="108"/>
      <c r="AD24" s="107"/>
      <c r="AE24" s="107"/>
      <c r="AF24" s="108"/>
      <c r="AG24" s="119">
        <f t="shared" si="1"/>
        <v>0</v>
      </c>
      <c r="AH24" s="119"/>
      <c r="AI24" s="119"/>
      <c r="AJ24" s="119"/>
      <c r="AK24" s="105">
        <v>6</v>
      </c>
      <c r="AL24" s="105"/>
      <c r="AM24" s="105"/>
      <c r="AN24" s="105"/>
      <c r="AO24" s="115">
        <f t="shared" si="2"/>
        <v>0</v>
      </c>
      <c r="AP24" s="115"/>
      <c r="AQ24" s="115"/>
      <c r="AR24" s="115"/>
      <c r="AS24" s="109"/>
      <c r="AT24" s="110"/>
      <c r="AU24" s="110"/>
      <c r="AV24" s="111"/>
      <c r="AW24" s="109">
        <v>48</v>
      </c>
      <c r="AX24" s="110"/>
      <c r="AY24" s="110"/>
      <c r="AZ24" s="111"/>
      <c r="BA24" s="109"/>
      <c r="BB24" s="110"/>
      <c r="BC24" s="110"/>
      <c r="BD24" s="111"/>
      <c r="BE24" s="109"/>
      <c r="BF24" s="110"/>
      <c r="BG24" s="110"/>
      <c r="BH24" s="111"/>
      <c r="BI24" s="112">
        <f t="shared" si="0"/>
        <v>48</v>
      </c>
      <c r="BJ24" s="112"/>
      <c r="BK24" s="112"/>
      <c r="BL24" s="113"/>
      <c r="BM24" s="113"/>
      <c r="BN24" s="114"/>
    </row>
    <row r="25" spans="2:66" ht="20.100000000000001" customHeight="1" x14ac:dyDescent="0.55000000000000004">
      <c r="B25" s="100">
        <v>45853</v>
      </c>
      <c r="C25" s="101"/>
      <c r="D25" s="101"/>
      <c r="E25" s="101"/>
      <c r="F25" s="102" t="s">
        <v>65</v>
      </c>
      <c r="G25" s="103"/>
      <c r="H25" s="103"/>
      <c r="I25" s="104"/>
      <c r="J25" s="102" t="s">
        <v>64</v>
      </c>
      <c r="K25" s="103"/>
      <c r="L25" s="103"/>
      <c r="M25" s="103"/>
      <c r="N25" s="104"/>
      <c r="O25" s="102" t="s">
        <v>66</v>
      </c>
      <c r="P25" s="103"/>
      <c r="Q25" s="103"/>
      <c r="R25" s="103"/>
      <c r="S25" s="103"/>
      <c r="T25" s="104"/>
      <c r="U25" s="105" t="s">
        <v>67</v>
      </c>
      <c r="V25" s="105"/>
      <c r="W25" s="105"/>
      <c r="X25" s="105" t="s">
        <v>61</v>
      </c>
      <c r="Y25" s="105"/>
      <c r="Z25" s="105"/>
      <c r="AA25" s="106"/>
      <c r="AB25" s="107"/>
      <c r="AC25" s="108"/>
      <c r="AD25" s="107"/>
      <c r="AE25" s="107"/>
      <c r="AF25" s="108"/>
      <c r="AG25" s="119">
        <f t="shared" si="1"/>
        <v>0</v>
      </c>
      <c r="AH25" s="119"/>
      <c r="AI25" s="119"/>
      <c r="AJ25" s="119"/>
      <c r="AK25" s="105">
        <v>6</v>
      </c>
      <c r="AL25" s="105"/>
      <c r="AM25" s="105"/>
      <c r="AN25" s="105"/>
      <c r="AO25" s="115">
        <f t="shared" si="2"/>
        <v>0</v>
      </c>
      <c r="AP25" s="115"/>
      <c r="AQ25" s="115"/>
      <c r="AR25" s="115"/>
      <c r="AS25" s="109"/>
      <c r="AT25" s="110"/>
      <c r="AU25" s="110"/>
      <c r="AV25" s="111"/>
      <c r="AW25" s="109">
        <v>48</v>
      </c>
      <c r="AX25" s="110"/>
      <c r="AY25" s="110"/>
      <c r="AZ25" s="111"/>
      <c r="BA25" s="109"/>
      <c r="BB25" s="110"/>
      <c r="BC25" s="110"/>
      <c r="BD25" s="111"/>
      <c r="BE25" s="109"/>
      <c r="BF25" s="110"/>
      <c r="BG25" s="110"/>
      <c r="BH25" s="111"/>
      <c r="BI25" s="112">
        <f t="shared" si="0"/>
        <v>48</v>
      </c>
      <c r="BJ25" s="112"/>
      <c r="BK25" s="112"/>
      <c r="BL25" s="113"/>
      <c r="BM25" s="113"/>
      <c r="BN25" s="114"/>
    </row>
    <row r="26" spans="2:66" ht="20.100000000000001" customHeight="1" x14ac:dyDescent="0.55000000000000004">
      <c r="B26" s="100"/>
      <c r="C26" s="101"/>
      <c r="D26" s="101"/>
      <c r="E26" s="101"/>
      <c r="F26" s="102"/>
      <c r="G26" s="103"/>
      <c r="H26" s="103"/>
      <c r="I26" s="104"/>
      <c r="J26" s="102"/>
      <c r="K26" s="103"/>
      <c r="L26" s="103"/>
      <c r="M26" s="103"/>
      <c r="N26" s="104"/>
      <c r="O26" s="102"/>
      <c r="P26" s="103"/>
      <c r="Q26" s="103"/>
      <c r="R26" s="103"/>
      <c r="S26" s="103"/>
      <c r="T26" s="104"/>
      <c r="U26" s="105"/>
      <c r="V26" s="105"/>
      <c r="W26" s="105"/>
      <c r="X26" s="105"/>
      <c r="Y26" s="105"/>
      <c r="Z26" s="105"/>
      <c r="AA26" s="106"/>
      <c r="AB26" s="107"/>
      <c r="AC26" s="108"/>
      <c r="AD26" s="107"/>
      <c r="AE26" s="107"/>
      <c r="AF26" s="108"/>
      <c r="AG26" s="119">
        <f t="shared" si="1"/>
        <v>0</v>
      </c>
      <c r="AH26" s="119"/>
      <c r="AI26" s="119"/>
      <c r="AJ26" s="119"/>
      <c r="AK26" s="105">
        <v>6</v>
      </c>
      <c r="AL26" s="105"/>
      <c r="AM26" s="105"/>
      <c r="AN26" s="105"/>
      <c r="AO26" s="115">
        <f t="shared" si="2"/>
        <v>0</v>
      </c>
      <c r="AP26" s="115"/>
      <c r="AQ26" s="115"/>
      <c r="AR26" s="115"/>
      <c r="AS26" s="109"/>
      <c r="AT26" s="110"/>
      <c r="AU26" s="110"/>
      <c r="AV26" s="111"/>
      <c r="AW26" s="109"/>
      <c r="AX26" s="110"/>
      <c r="AY26" s="110"/>
      <c r="AZ26" s="111"/>
      <c r="BA26" s="109"/>
      <c r="BB26" s="110"/>
      <c r="BC26" s="110"/>
      <c r="BD26" s="111"/>
      <c r="BE26" s="109"/>
      <c r="BF26" s="110"/>
      <c r="BG26" s="110"/>
      <c r="BH26" s="111"/>
      <c r="BI26" s="112">
        <f t="shared" si="0"/>
        <v>0</v>
      </c>
      <c r="BJ26" s="112"/>
      <c r="BK26" s="112"/>
      <c r="BL26" s="113"/>
      <c r="BM26" s="113"/>
      <c r="BN26" s="114"/>
    </row>
    <row r="27" spans="2:66" ht="20.100000000000001" customHeight="1" x14ac:dyDescent="0.55000000000000004">
      <c r="B27" s="100"/>
      <c r="C27" s="101"/>
      <c r="D27" s="101"/>
      <c r="E27" s="101"/>
      <c r="F27" s="102"/>
      <c r="G27" s="103"/>
      <c r="H27" s="103"/>
      <c r="I27" s="104"/>
      <c r="J27" s="102"/>
      <c r="K27" s="103"/>
      <c r="L27" s="103"/>
      <c r="M27" s="103"/>
      <c r="N27" s="104"/>
      <c r="O27" s="102"/>
      <c r="P27" s="103"/>
      <c r="Q27" s="103"/>
      <c r="R27" s="103"/>
      <c r="S27" s="103"/>
      <c r="T27" s="104"/>
      <c r="U27" s="105"/>
      <c r="V27" s="105"/>
      <c r="W27" s="105"/>
      <c r="X27" s="105"/>
      <c r="Y27" s="105"/>
      <c r="Z27" s="105"/>
      <c r="AA27" s="106"/>
      <c r="AB27" s="107"/>
      <c r="AC27" s="108"/>
      <c r="AD27" s="107"/>
      <c r="AE27" s="107"/>
      <c r="AF27" s="108"/>
      <c r="AG27" s="119">
        <f t="shared" si="1"/>
        <v>0</v>
      </c>
      <c r="AH27" s="119"/>
      <c r="AI27" s="119"/>
      <c r="AJ27" s="119"/>
      <c r="AK27" s="105">
        <v>6</v>
      </c>
      <c r="AL27" s="105"/>
      <c r="AM27" s="105"/>
      <c r="AN27" s="105"/>
      <c r="AO27" s="115">
        <f t="shared" si="2"/>
        <v>0</v>
      </c>
      <c r="AP27" s="115"/>
      <c r="AQ27" s="115"/>
      <c r="AR27" s="115"/>
      <c r="AS27" s="109"/>
      <c r="AT27" s="110"/>
      <c r="AU27" s="110"/>
      <c r="AV27" s="111"/>
      <c r="AW27" s="109"/>
      <c r="AX27" s="110"/>
      <c r="AY27" s="110"/>
      <c r="AZ27" s="111"/>
      <c r="BA27" s="109"/>
      <c r="BB27" s="110"/>
      <c r="BC27" s="110"/>
      <c r="BD27" s="111"/>
      <c r="BE27" s="109"/>
      <c r="BF27" s="110"/>
      <c r="BG27" s="110"/>
      <c r="BH27" s="111"/>
      <c r="BI27" s="112">
        <f t="shared" si="0"/>
        <v>0</v>
      </c>
      <c r="BJ27" s="112"/>
      <c r="BK27" s="112"/>
      <c r="BL27" s="113"/>
      <c r="BM27" s="113"/>
      <c r="BN27" s="114"/>
    </row>
    <row r="28" spans="2:66" ht="20.100000000000001" customHeight="1" x14ac:dyDescent="0.55000000000000004">
      <c r="B28" s="100"/>
      <c r="C28" s="101"/>
      <c r="D28" s="101"/>
      <c r="E28" s="101"/>
      <c r="F28" s="102"/>
      <c r="G28" s="103"/>
      <c r="H28" s="103"/>
      <c r="I28" s="104"/>
      <c r="J28" s="102"/>
      <c r="K28" s="103"/>
      <c r="L28" s="103"/>
      <c r="M28" s="103"/>
      <c r="N28" s="104"/>
      <c r="O28" s="102"/>
      <c r="P28" s="103"/>
      <c r="Q28" s="103"/>
      <c r="R28" s="103"/>
      <c r="S28" s="103"/>
      <c r="T28" s="104"/>
      <c r="U28" s="105"/>
      <c r="V28" s="105"/>
      <c r="W28" s="105"/>
      <c r="X28" s="105"/>
      <c r="Y28" s="105"/>
      <c r="Z28" s="105"/>
      <c r="AA28" s="106"/>
      <c r="AB28" s="107"/>
      <c r="AC28" s="108"/>
      <c r="AD28" s="107"/>
      <c r="AE28" s="107"/>
      <c r="AF28" s="108"/>
      <c r="AG28" s="119">
        <f t="shared" si="1"/>
        <v>0</v>
      </c>
      <c r="AH28" s="119"/>
      <c r="AI28" s="119"/>
      <c r="AJ28" s="119"/>
      <c r="AK28" s="105">
        <v>6</v>
      </c>
      <c r="AL28" s="105"/>
      <c r="AM28" s="105"/>
      <c r="AN28" s="105"/>
      <c r="AO28" s="115">
        <f t="shared" si="2"/>
        <v>0</v>
      </c>
      <c r="AP28" s="115"/>
      <c r="AQ28" s="115"/>
      <c r="AR28" s="115"/>
      <c r="AS28" s="109"/>
      <c r="AT28" s="110"/>
      <c r="AU28" s="110"/>
      <c r="AV28" s="111"/>
      <c r="AW28" s="109"/>
      <c r="AX28" s="110"/>
      <c r="AY28" s="110"/>
      <c r="AZ28" s="111"/>
      <c r="BA28" s="109"/>
      <c r="BB28" s="110"/>
      <c r="BC28" s="110"/>
      <c r="BD28" s="111"/>
      <c r="BE28" s="109"/>
      <c r="BF28" s="110"/>
      <c r="BG28" s="110"/>
      <c r="BH28" s="111"/>
      <c r="BI28" s="112">
        <f t="shared" si="0"/>
        <v>0</v>
      </c>
      <c r="BJ28" s="112"/>
      <c r="BK28" s="112"/>
      <c r="BL28" s="113"/>
      <c r="BM28" s="113"/>
      <c r="BN28" s="114"/>
    </row>
    <row r="29" spans="2:66" ht="20.100000000000001" customHeight="1" x14ac:dyDescent="0.55000000000000004">
      <c r="B29" s="100"/>
      <c r="C29" s="101"/>
      <c r="D29" s="101"/>
      <c r="E29" s="101"/>
      <c r="F29" s="102"/>
      <c r="G29" s="103"/>
      <c r="H29" s="103"/>
      <c r="I29" s="104"/>
      <c r="J29" s="102"/>
      <c r="K29" s="103"/>
      <c r="L29" s="103"/>
      <c r="M29" s="103"/>
      <c r="N29" s="104"/>
      <c r="O29" s="102"/>
      <c r="P29" s="103"/>
      <c r="Q29" s="103"/>
      <c r="R29" s="103"/>
      <c r="S29" s="103"/>
      <c r="T29" s="104"/>
      <c r="U29" s="105"/>
      <c r="V29" s="105"/>
      <c r="W29" s="105"/>
      <c r="X29" s="105"/>
      <c r="Y29" s="105"/>
      <c r="Z29" s="105"/>
      <c r="AA29" s="106"/>
      <c r="AB29" s="107"/>
      <c r="AC29" s="108"/>
      <c r="AD29" s="107"/>
      <c r="AE29" s="107"/>
      <c r="AF29" s="108"/>
      <c r="AG29" s="119">
        <f t="shared" si="1"/>
        <v>0</v>
      </c>
      <c r="AH29" s="119"/>
      <c r="AI29" s="119"/>
      <c r="AJ29" s="119"/>
      <c r="AK29" s="105">
        <v>6</v>
      </c>
      <c r="AL29" s="105"/>
      <c r="AM29" s="105"/>
      <c r="AN29" s="105"/>
      <c r="AO29" s="115">
        <f t="shared" si="2"/>
        <v>0</v>
      </c>
      <c r="AP29" s="115"/>
      <c r="AQ29" s="115"/>
      <c r="AR29" s="115"/>
      <c r="AS29" s="109"/>
      <c r="AT29" s="110"/>
      <c r="AU29" s="110"/>
      <c r="AV29" s="111"/>
      <c r="AW29" s="109"/>
      <c r="AX29" s="110"/>
      <c r="AY29" s="110"/>
      <c r="AZ29" s="111"/>
      <c r="BA29" s="109"/>
      <c r="BB29" s="110"/>
      <c r="BC29" s="110"/>
      <c r="BD29" s="111"/>
      <c r="BE29" s="109"/>
      <c r="BF29" s="110"/>
      <c r="BG29" s="110"/>
      <c r="BH29" s="111"/>
      <c r="BI29" s="112">
        <f t="shared" si="0"/>
        <v>0</v>
      </c>
      <c r="BJ29" s="112"/>
      <c r="BK29" s="112"/>
      <c r="BL29" s="113"/>
      <c r="BM29" s="113"/>
      <c r="BN29" s="114"/>
    </row>
    <row r="30" spans="2:66" ht="20.100000000000001" customHeight="1" x14ac:dyDescent="0.55000000000000004">
      <c r="B30" s="120"/>
      <c r="C30" s="121"/>
      <c r="D30" s="121"/>
      <c r="E30" s="122"/>
      <c r="F30" s="102"/>
      <c r="G30" s="103"/>
      <c r="H30" s="103"/>
      <c r="I30" s="104"/>
      <c r="J30" s="102"/>
      <c r="K30" s="103"/>
      <c r="L30" s="103"/>
      <c r="M30" s="103"/>
      <c r="N30" s="104"/>
      <c r="O30" s="102"/>
      <c r="P30" s="103"/>
      <c r="Q30" s="103"/>
      <c r="R30" s="103"/>
      <c r="S30" s="103"/>
      <c r="T30" s="104"/>
      <c r="U30" s="105"/>
      <c r="V30" s="105"/>
      <c r="W30" s="105"/>
      <c r="X30" s="105"/>
      <c r="Y30" s="105"/>
      <c r="Z30" s="105"/>
      <c r="AA30" s="106"/>
      <c r="AB30" s="107"/>
      <c r="AC30" s="108"/>
      <c r="AD30" s="107"/>
      <c r="AE30" s="107"/>
      <c r="AF30" s="108"/>
      <c r="AG30" s="131">
        <f t="shared" si="1"/>
        <v>0</v>
      </c>
      <c r="AH30" s="132"/>
      <c r="AI30" s="132"/>
      <c r="AJ30" s="133"/>
      <c r="AK30" s="102">
        <v>6</v>
      </c>
      <c r="AL30" s="103"/>
      <c r="AM30" s="103"/>
      <c r="AN30" s="104"/>
      <c r="AO30" s="125">
        <f t="shared" si="2"/>
        <v>0</v>
      </c>
      <c r="AP30" s="126"/>
      <c r="AQ30" s="126"/>
      <c r="AR30" s="127"/>
      <c r="AS30" s="109"/>
      <c r="AT30" s="110"/>
      <c r="AU30" s="110"/>
      <c r="AV30" s="111"/>
      <c r="AW30" s="109"/>
      <c r="AX30" s="110"/>
      <c r="AY30" s="110"/>
      <c r="AZ30" s="111"/>
      <c r="BA30" s="109"/>
      <c r="BB30" s="110"/>
      <c r="BC30" s="110"/>
      <c r="BD30" s="111"/>
      <c r="BE30" s="109"/>
      <c r="BF30" s="110"/>
      <c r="BG30" s="110"/>
      <c r="BH30" s="111"/>
      <c r="BI30" s="113">
        <f t="shared" si="0"/>
        <v>0</v>
      </c>
      <c r="BJ30" s="123"/>
      <c r="BK30" s="123"/>
      <c r="BL30" s="123"/>
      <c r="BM30" s="123"/>
      <c r="BN30" s="124"/>
    </row>
    <row r="31" spans="2:66" ht="20.100000000000001" customHeight="1" thickBot="1" x14ac:dyDescent="0.6">
      <c r="B31" s="120"/>
      <c r="C31" s="121"/>
      <c r="D31" s="121"/>
      <c r="E31" s="122"/>
      <c r="F31" s="102"/>
      <c r="G31" s="103"/>
      <c r="H31" s="103"/>
      <c r="I31" s="104"/>
      <c r="J31" s="128"/>
      <c r="K31" s="129"/>
      <c r="L31" s="129"/>
      <c r="M31" s="129"/>
      <c r="N31" s="130"/>
      <c r="O31" s="102"/>
      <c r="P31" s="103"/>
      <c r="Q31" s="103"/>
      <c r="R31" s="103"/>
      <c r="S31" s="103"/>
      <c r="T31" s="104"/>
      <c r="U31" s="105"/>
      <c r="V31" s="105"/>
      <c r="W31" s="105"/>
      <c r="X31" s="105"/>
      <c r="Y31" s="105"/>
      <c r="Z31" s="105"/>
      <c r="AA31" s="106"/>
      <c r="AB31" s="107"/>
      <c r="AC31" s="108"/>
      <c r="AD31" s="107"/>
      <c r="AE31" s="107"/>
      <c r="AF31" s="108"/>
      <c r="AG31" s="119">
        <f t="shared" si="1"/>
        <v>0</v>
      </c>
      <c r="AH31" s="119"/>
      <c r="AI31" s="119"/>
      <c r="AJ31" s="119"/>
      <c r="AK31" s="151">
        <v>6</v>
      </c>
      <c r="AL31" s="151"/>
      <c r="AM31" s="151"/>
      <c r="AN31" s="151"/>
      <c r="AO31" s="115">
        <f t="shared" si="2"/>
        <v>0</v>
      </c>
      <c r="AP31" s="115"/>
      <c r="AQ31" s="115"/>
      <c r="AR31" s="115"/>
      <c r="AS31" s="109"/>
      <c r="AT31" s="110"/>
      <c r="AU31" s="110"/>
      <c r="AV31" s="111"/>
      <c r="AW31" s="109"/>
      <c r="AX31" s="110"/>
      <c r="AY31" s="110"/>
      <c r="AZ31" s="111"/>
      <c r="BA31" s="109"/>
      <c r="BB31" s="110"/>
      <c r="BC31" s="110"/>
      <c r="BD31" s="111"/>
      <c r="BE31" s="109"/>
      <c r="BF31" s="110"/>
      <c r="BG31" s="110"/>
      <c r="BH31" s="111"/>
      <c r="BI31" s="112">
        <f t="shared" si="0"/>
        <v>0</v>
      </c>
      <c r="BJ31" s="112"/>
      <c r="BK31" s="112"/>
      <c r="BL31" s="113"/>
      <c r="BM31" s="113"/>
      <c r="BN31" s="114"/>
    </row>
    <row r="32" spans="2:66" ht="20.100000000000001" customHeight="1" thickBot="1" x14ac:dyDescent="0.6">
      <c r="B32" s="144" t="s">
        <v>41</v>
      </c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6"/>
      <c r="AO32" s="147">
        <f>SUM(AO14:AR31)</f>
        <v>0</v>
      </c>
      <c r="AP32" s="147"/>
      <c r="AQ32" s="147"/>
      <c r="AR32" s="147"/>
      <c r="AS32" s="147">
        <f>SUM(AS14:AV31)</f>
        <v>0</v>
      </c>
      <c r="AT32" s="147"/>
      <c r="AU32" s="147"/>
      <c r="AV32" s="147"/>
      <c r="AW32" s="147">
        <f>SUM(AW14:AZ31)</f>
        <v>576</v>
      </c>
      <c r="AX32" s="147"/>
      <c r="AY32" s="147"/>
      <c r="AZ32" s="147"/>
      <c r="BA32" s="147">
        <f>SUM(BA14:BD31)</f>
        <v>0</v>
      </c>
      <c r="BB32" s="147"/>
      <c r="BC32" s="147"/>
      <c r="BD32" s="147"/>
      <c r="BE32" s="147">
        <f>SUM(BE14:BH31)</f>
        <v>0</v>
      </c>
      <c r="BF32" s="147"/>
      <c r="BG32" s="147"/>
      <c r="BH32" s="147"/>
      <c r="BI32" s="148">
        <f>SUM(BI14:BN31)</f>
        <v>576</v>
      </c>
      <c r="BJ32" s="148"/>
      <c r="BK32" s="148"/>
      <c r="BL32" s="149"/>
      <c r="BM32" s="149"/>
      <c r="BN32" s="150"/>
    </row>
    <row r="33" spans="1:66" s="44" customFormat="1" ht="27" customHeight="1" x14ac:dyDescent="0.65">
      <c r="A33" s="40"/>
      <c r="B33" s="41"/>
      <c r="C33" s="42" t="s">
        <v>42</v>
      </c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3"/>
      <c r="O33" s="135">
        <f>BI32</f>
        <v>576</v>
      </c>
      <c r="P33" s="135"/>
      <c r="Q33" s="135"/>
      <c r="R33" s="135"/>
      <c r="S33" s="135"/>
      <c r="T33" s="135"/>
      <c r="U33" s="42" t="s">
        <v>43</v>
      </c>
      <c r="V33" s="42" t="s">
        <v>44</v>
      </c>
      <c r="W33" s="42"/>
      <c r="X33" s="42"/>
      <c r="Z33" s="45" t="str">
        <f>" ( "&amp;(BAHTTEXT(O33))&amp;" ) "</f>
        <v xml:space="preserve"> ( ห้าร้อยเจ็ดสิบหกบาทถ้วน ) </v>
      </c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136"/>
      <c r="BJ33" s="137"/>
      <c r="BK33" s="137"/>
      <c r="BL33" s="138"/>
      <c r="BM33" s="138"/>
      <c r="BN33" s="139"/>
    </row>
    <row r="34" spans="1:66" s="44" customFormat="1" ht="27" customHeight="1" x14ac:dyDescent="0.55000000000000004">
      <c r="A34" s="40"/>
      <c r="B34" s="46"/>
      <c r="C34" s="47" t="s">
        <v>45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140">
        <v>2</v>
      </c>
      <c r="W34" s="140"/>
      <c r="X34" s="47" t="s">
        <v>46</v>
      </c>
      <c r="Y34" s="48"/>
      <c r="AF34" s="40"/>
      <c r="AG34" s="40"/>
      <c r="AH34" s="40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0"/>
      <c r="AZ34" s="47"/>
      <c r="BA34" s="47"/>
      <c r="BB34" s="47"/>
      <c r="BC34" s="47"/>
      <c r="BD34" s="47"/>
      <c r="BE34" s="47"/>
      <c r="BF34" s="47"/>
      <c r="BG34" s="47"/>
      <c r="BH34" s="47"/>
      <c r="BI34" s="49"/>
      <c r="BJ34" s="49"/>
      <c r="BK34" s="49"/>
      <c r="BL34" s="49"/>
      <c r="BM34" s="49"/>
      <c r="BN34" s="50"/>
    </row>
    <row r="35" spans="1:66" ht="21" thickBot="1" x14ac:dyDescent="0.6">
      <c r="B35" s="51"/>
      <c r="C35" s="2"/>
      <c r="D35" s="2"/>
      <c r="E35" s="2"/>
      <c r="F35" s="2"/>
      <c r="G35" s="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3"/>
      <c r="AB35" s="53"/>
      <c r="AC35" s="53"/>
      <c r="AD35" s="53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47"/>
      <c r="BE35" s="2"/>
      <c r="BF35" s="2"/>
      <c r="BG35" s="2"/>
      <c r="BH35" s="2"/>
      <c r="BI35" s="30"/>
      <c r="BJ35" s="30"/>
      <c r="BK35" s="30"/>
      <c r="BL35" s="30"/>
      <c r="BM35" s="30"/>
      <c r="BN35" s="54"/>
    </row>
    <row r="36" spans="1:66" ht="20.399999999999999" x14ac:dyDescent="0.55000000000000004">
      <c r="B36" s="51"/>
      <c r="D36" s="55"/>
      <c r="E36" s="55"/>
      <c r="F36" s="55"/>
      <c r="G36" s="55"/>
      <c r="H36" s="141" t="s">
        <v>47</v>
      </c>
      <c r="I36" s="142"/>
      <c r="J36" s="142"/>
      <c r="K36" s="142"/>
      <c r="L36" s="142"/>
      <c r="M36" s="142"/>
      <c r="N36" s="142"/>
      <c r="O36" s="142"/>
      <c r="P36" s="143"/>
      <c r="Q36" s="141" t="s">
        <v>48</v>
      </c>
      <c r="R36" s="142"/>
      <c r="S36" s="142"/>
      <c r="T36" s="142"/>
      <c r="U36" s="142"/>
      <c r="V36" s="142"/>
      <c r="W36" s="142"/>
      <c r="X36" s="142"/>
      <c r="Y36" s="143"/>
      <c r="Z36" s="141" t="s">
        <v>49</v>
      </c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3"/>
      <c r="AO36" s="141" t="s">
        <v>50</v>
      </c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3"/>
      <c r="BD36" s="47"/>
      <c r="BG36" s="55"/>
      <c r="BH36" s="55"/>
      <c r="BI36" s="55"/>
      <c r="BJ36" s="55"/>
      <c r="BK36" s="55"/>
      <c r="BL36" s="55"/>
      <c r="BM36" s="55"/>
      <c r="BN36" s="54"/>
    </row>
    <row r="37" spans="1:66" ht="21" customHeight="1" x14ac:dyDescent="0.5">
      <c r="B37" s="51"/>
      <c r="D37" s="2"/>
      <c r="E37" s="2"/>
      <c r="F37" s="2"/>
      <c r="G37" s="2"/>
      <c r="H37" s="56"/>
      <c r="I37" s="57"/>
      <c r="J37" s="57"/>
      <c r="K37" s="57"/>
      <c r="L37" s="57"/>
      <c r="M37" s="57"/>
      <c r="N37" s="57"/>
      <c r="O37" s="57"/>
      <c r="P37" s="58"/>
      <c r="Q37" s="56"/>
      <c r="R37" s="57"/>
      <c r="S37" s="57"/>
      <c r="T37" s="57"/>
      <c r="U37" s="57"/>
      <c r="V37" s="57"/>
      <c r="W37" s="57"/>
      <c r="X37" s="57"/>
      <c r="Y37" s="58"/>
      <c r="Z37" s="51"/>
      <c r="AA37" s="2"/>
      <c r="AB37" s="2"/>
      <c r="AC37" s="2"/>
      <c r="AD37" s="2"/>
      <c r="AN37" s="59"/>
      <c r="AO37" s="56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8"/>
      <c r="BG37" s="2"/>
      <c r="BH37" s="2"/>
      <c r="BI37" s="2"/>
      <c r="BJ37" s="2"/>
      <c r="BK37" s="2"/>
      <c r="BL37" s="2"/>
      <c r="BM37" s="2"/>
      <c r="BN37" s="54"/>
    </row>
    <row r="38" spans="1:66" ht="21" customHeight="1" x14ac:dyDescent="0.5">
      <c r="B38" s="51"/>
      <c r="D38" s="2"/>
      <c r="E38" s="2"/>
      <c r="F38" s="2"/>
      <c r="G38" s="2"/>
      <c r="H38" s="60"/>
      <c r="I38" s="61"/>
      <c r="J38" s="61"/>
      <c r="K38" s="61"/>
      <c r="L38" s="61"/>
      <c r="M38" s="61"/>
      <c r="N38" s="61"/>
      <c r="O38" s="61"/>
      <c r="P38" s="62"/>
      <c r="Q38" s="60"/>
      <c r="R38" s="61"/>
      <c r="S38" s="61"/>
      <c r="T38" s="61"/>
      <c r="U38" s="61"/>
      <c r="V38" s="61"/>
      <c r="W38" s="61"/>
      <c r="X38" s="61"/>
      <c r="Y38" s="62"/>
      <c r="Z38" s="60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0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2"/>
      <c r="BG38" s="2"/>
      <c r="BH38" s="2"/>
      <c r="BI38" s="2"/>
      <c r="BJ38" s="2"/>
      <c r="BK38" s="2"/>
      <c r="BL38" s="2"/>
      <c r="BM38" s="2"/>
      <c r="BN38" s="54"/>
    </row>
    <row r="39" spans="1:66" ht="20.100000000000001" customHeight="1" thickBot="1" x14ac:dyDescent="0.55000000000000004">
      <c r="B39" s="51"/>
      <c r="D39" s="63"/>
      <c r="E39" s="63"/>
      <c r="F39" s="63"/>
      <c r="G39" s="63"/>
      <c r="H39" s="64" t="s">
        <v>51</v>
      </c>
      <c r="I39" s="65"/>
      <c r="J39" s="65"/>
      <c r="K39" s="65"/>
      <c r="L39" s="65"/>
      <c r="M39" s="65"/>
      <c r="N39" s="65"/>
      <c r="O39" s="65"/>
      <c r="P39" s="66"/>
      <c r="Q39" s="64" t="s">
        <v>52</v>
      </c>
      <c r="R39" s="65"/>
      <c r="S39" s="65"/>
      <c r="T39" s="65"/>
      <c r="U39" s="65"/>
      <c r="V39" s="65"/>
      <c r="W39" s="65"/>
      <c r="X39" s="65"/>
      <c r="Y39" s="66"/>
      <c r="Z39" s="64" t="s">
        <v>52</v>
      </c>
      <c r="AA39" s="65"/>
      <c r="AB39" s="65"/>
      <c r="AC39" s="65"/>
      <c r="AD39" s="65"/>
      <c r="AE39" s="67"/>
      <c r="AF39" s="67"/>
      <c r="AG39" s="67"/>
      <c r="AH39" s="67"/>
      <c r="AI39" s="67"/>
      <c r="AJ39" s="67"/>
      <c r="AK39" s="67"/>
      <c r="AL39" s="67"/>
      <c r="AM39" s="67"/>
      <c r="AN39" s="68"/>
      <c r="AO39" s="64" t="s">
        <v>53</v>
      </c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6"/>
      <c r="BG39" s="63"/>
      <c r="BH39" s="63"/>
      <c r="BI39" s="63"/>
      <c r="BJ39" s="63"/>
      <c r="BK39" s="63"/>
      <c r="BL39" s="63"/>
      <c r="BM39" s="63"/>
      <c r="BN39" s="54"/>
    </row>
    <row r="40" spans="1:66" ht="9.9" customHeight="1" x14ac:dyDescent="0.5">
      <c r="B40" s="51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69"/>
      <c r="AS40" s="69"/>
      <c r="BN40" s="59"/>
    </row>
    <row r="41" spans="1:66" ht="21" thickBot="1" x14ac:dyDescent="0.45">
      <c r="B41" s="70" t="s">
        <v>54</v>
      </c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2" t="s">
        <v>55</v>
      </c>
    </row>
    <row r="42" spans="1:66" ht="17.399999999999999" x14ac:dyDescent="0.45">
      <c r="B42" s="24" t="s">
        <v>56</v>
      </c>
      <c r="AF42" s="24" t="s">
        <v>57</v>
      </c>
      <c r="AG42" s="3"/>
    </row>
    <row r="43" spans="1:66" ht="17.399999999999999" x14ac:dyDescent="0.45">
      <c r="B43" s="24" t="s">
        <v>58</v>
      </c>
      <c r="AF43" s="24" t="s">
        <v>59</v>
      </c>
    </row>
    <row r="44" spans="1:66" ht="17.399999999999999" x14ac:dyDescent="0.45">
      <c r="B44" s="24"/>
    </row>
    <row r="45" spans="1:66" ht="17.399999999999999" x14ac:dyDescent="0.45">
      <c r="B45" s="24"/>
    </row>
  </sheetData>
  <sheetProtection algorithmName="SHA-512" hashValue="Gb8FggxYotDknyHEf6AqrE4BSb7Frr68ak/6NKrYrBsdpPAwlAB7tNgio1QsFp2DDkznZESxxqMSnrfs3V60DA==" saltValue="KLzli9XE7wvCh2WiBZuxYw==" spinCount="100000" sheet="1" objects="1" scenarios="1"/>
  <mergeCells count="337">
    <mergeCell ref="Y40:AN40"/>
    <mergeCell ref="O33:T33"/>
    <mergeCell ref="BI33:BN33"/>
    <mergeCell ref="V34:W34"/>
    <mergeCell ref="H36:P36"/>
    <mergeCell ref="Q36:Y36"/>
    <mergeCell ref="Z36:AN36"/>
    <mergeCell ref="AO36:BC36"/>
    <mergeCell ref="BE31:BH31"/>
    <mergeCell ref="BI31:BN31"/>
    <mergeCell ref="B32:AN32"/>
    <mergeCell ref="AO32:AR32"/>
    <mergeCell ref="AS32:AV32"/>
    <mergeCell ref="AW32:AZ32"/>
    <mergeCell ref="BA32:BD32"/>
    <mergeCell ref="BE32:BH32"/>
    <mergeCell ref="BI32:BN32"/>
    <mergeCell ref="AG31:AJ31"/>
    <mergeCell ref="AK31:AN31"/>
    <mergeCell ref="AO31:AR31"/>
    <mergeCell ref="AS31:AV31"/>
    <mergeCell ref="AW31:AZ31"/>
    <mergeCell ref="BA31:BD31"/>
    <mergeCell ref="B31:E31"/>
    <mergeCell ref="F31:I31"/>
    <mergeCell ref="J31:N31"/>
    <mergeCell ref="O31:T31"/>
    <mergeCell ref="U31:W31"/>
    <mergeCell ref="X31:Z31"/>
    <mergeCell ref="AA31:AC31"/>
    <mergeCell ref="AD31:AF31"/>
    <mergeCell ref="AG30:AJ30"/>
    <mergeCell ref="BE29:BH29"/>
    <mergeCell ref="J29:N29"/>
    <mergeCell ref="O29:T29"/>
    <mergeCell ref="U29:W29"/>
    <mergeCell ref="X29:Z29"/>
    <mergeCell ref="AA29:AC29"/>
    <mergeCell ref="AD29:AF29"/>
    <mergeCell ref="BI29:BN29"/>
    <mergeCell ref="B30:E30"/>
    <mergeCell ref="F30:I30"/>
    <mergeCell ref="J30:N30"/>
    <mergeCell ref="O30:T30"/>
    <mergeCell ref="U30:W30"/>
    <mergeCell ref="X30:Z30"/>
    <mergeCell ref="AA30:AC30"/>
    <mergeCell ref="AD30:AF30"/>
    <mergeCell ref="AG29:AJ29"/>
    <mergeCell ref="AK29:AN29"/>
    <mergeCell ref="AO29:AR29"/>
    <mergeCell ref="AS29:AV29"/>
    <mergeCell ref="AW29:AZ29"/>
    <mergeCell ref="BA29:BD29"/>
    <mergeCell ref="BE30:BH30"/>
    <mergeCell ref="BI30:BN30"/>
    <mergeCell ref="AK30:AN30"/>
    <mergeCell ref="AO30:AR30"/>
    <mergeCell ref="AS30:AV30"/>
    <mergeCell ref="AW30:AZ30"/>
    <mergeCell ref="BA30:BD30"/>
    <mergeCell ref="B29:E29"/>
    <mergeCell ref="F29:I29"/>
    <mergeCell ref="AG28:AJ28"/>
    <mergeCell ref="BE27:BH27"/>
    <mergeCell ref="BI27:BN27"/>
    <mergeCell ref="B28:E28"/>
    <mergeCell ref="F28:I28"/>
    <mergeCell ref="J28:N28"/>
    <mergeCell ref="O28:T28"/>
    <mergeCell ref="U28:W28"/>
    <mergeCell ref="X28:Z28"/>
    <mergeCell ref="AA28:AC28"/>
    <mergeCell ref="AD28:AF28"/>
    <mergeCell ref="AG27:AJ27"/>
    <mergeCell ref="AK27:AN27"/>
    <mergeCell ref="AO27:AR27"/>
    <mergeCell ref="AS27:AV27"/>
    <mergeCell ref="AW27:AZ27"/>
    <mergeCell ref="BA27:BD27"/>
    <mergeCell ref="BE28:BH28"/>
    <mergeCell ref="BI28:BN28"/>
    <mergeCell ref="AK28:AN28"/>
    <mergeCell ref="AO28:AR28"/>
    <mergeCell ref="AS28:AV28"/>
    <mergeCell ref="AW28:AZ28"/>
    <mergeCell ref="BA28:BD28"/>
    <mergeCell ref="B27:E27"/>
    <mergeCell ref="F27:I27"/>
    <mergeCell ref="J27:N27"/>
    <mergeCell ref="O27:T27"/>
    <mergeCell ref="U27:W27"/>
    <mergeCell ref="X27:Z27"/>
    <mergeCell ref="AA27:AC27"/>
    <mergeCell ref="AD27:AF27"/>
    <mergeCell ref="AG26:AJ26"/>
    <mergeCell ref="BI25:BN25"/>
    <mergeCell ref="B26:E26"/>
    <mergeCell ref="F26:I26"/>
    <mergeCell ref="J26:N26"/>
    <mergeCell ref="O26:T26"/>
    <mergeCell ref="U26:W26"/>
    <mergeCell ref="X26:Z26"/>
    <mergeCell ref="AA26:AC26"/>
    <mergeCell ref="AD26:AF26"/>
    <mergeCell ref="AG25:AJ25"/>
    <mergeCell ref="AK25:AN25"/>
    <mergeCell ref="AO25:AR25"/>
    <mergeCell ref="AS25:AV25"/>
    <mergeCell ref="AW25:AZ25"/>
    <mergeCell ref="BA25:BD25"/>
    <mergeCell ref="BE26:BH26"/>
    <mergeCell ref="BI26:BN26"/>
    <mergeCell ref="AK26:AN26"/>
    <mergeCell ref="AO26:AR26"/>
    <mergeCell ref="AS26:AV26"/>
    <mergeCell ref="AW26:AZ26"/>
    <mergeCell ref="BA26:BD26"/>
    <mergeCell ref="B25:E25"/>
    <mergeCell ref="F25:I25"/>
    <mergeCell ref="J25:N25"/>
    <mergeCell ref="O25:T25"/>
    <mergeCell ref="U25:W25"/>
    <mergeCell ref="X25:Z25"/>
    <mergeCell ref="AA25:AC25"/>
    <mergeCell ref="AD25:AF25"/>
    <mergeCell ref="AG24:AJ24"/>
    <mergeCell ref="BE23:BH23"/>
    <mergeCell ref="J23:N23"/>
    <mergeCell ref="O23:T23"/>
    <mergeCell ref="U23:W23"/>
    <mergeCell ref="X23:Z23"/>
    <mergeCell ref="AA23:AC23"/>
    <mergeCell ref="AD23:AF23"/>
    <mergeCell ref="BE25:BH25"/>
    <mergeCell ref="BI23:BN23"/>
    <mergeCell ref="B24:E24"/>
    <mergeCell ref="F24:I24"/>
    <mergeCell ref="J24:N24"/>
    <mergeCell ref="O24:T24"/>
    <mergeCell ref="U24:W24"/>
    <mergeCell ref="X24:Z24"/>
    <mergeCell ref="AA24:AC24"/>
    <mergeCell ref="AD24:AF24"/>
    <mergeCell ref="AG23:AJ23"/>
    <mergeCell ref="AK23:AN23"/>
    <mergeCell ref="AO23:AR23"/>
    <mergeCell ref="AS23:AV23"/>
    <mergeCell ref="AW23:AZ23"/>
    <mergeCell ref="BA23:BD23"/>
    <mergeCell ref="BE24:BH24"/>
    <mergeCell ref="BI24:BN24"/>
    <mergeCell ref="AK24:AN24"/>
    <mergeCell ref="AO24:AR24"/>
    <mergeCell ref="AS24:AV24"/>
    <mergeCell ref="AW24:AZ24"/>
    <mergeCell ref="BA24:BD24"/>
    <mergeCell ref="B23:E23"/>
    <mergeCell ref="F23:I23"/>
    <mergeCell ref="AG22:AJ22"/>
    <mergeCell ref="BE21:BH21"/>
    <mergeCell ref="BI21:BN21"/>
    <mergeCell ref="B22:E22"/>
    <mergeCell ref="F22:I22"/>
    <mergeCell ref="J22:N22"/>
    <mergeCell ref="O22:T22"/>
    <mergeCell ref="U22:W22"/>
    <mergeCell ref="X22:Z22"/>
    <mergeCell ref="AA22:AC22"/>
    <mergeCell ref="AD22:AF22"/>
    <mergeCell ref="AG21:AJ21"/>
    <mergeCell ref="AK21:AN21"/>
    <mergeCell ref="AO21:AR21"/>
    <mergeCell ref="AS21:AV21"/>
    <mergeCell ref="AW21:AZ21"/>
    <mergeCell ref="BA21:BD21"/>
    <mergeCell ref="BE22:BH22"/>
    <mergeCell ref="BI22:BN22"/>
    <mergeCell ref="AK22:AN22"/>
    <mergeCell ref="AO22:AR22"/>
    <mergeCell ref="AS22:AV22"/>
    <mergeCell ref="AW22:AZ22"/>
    <mergeCell ref="BA22:BD22"/>
    <mergeCell ref="B21:E21"/>
    <mergeCell ref="F21:I21"/>
    <mergeCell ref="J21:N21"/>
    <mergeCell ref="O21:T21"/>
    <mergeCell ref="U21:W21"/>
    <mergeCell ref="X21:Z21"/>
    <mergeCell ref="AA21:AC21"/>
    <mergeCell ref="AD21:AF21"/>
    <mergeCell ref="AG20:AJ20"/>
    <mergeCell ref="BI19:BN19"/>
    <mergeCell ref="B20:E20"/>
    <mergeCell ref="F20:I20"/>
    <mergeCell ref="J20:N20"/>
    <mergeCell ref="O20:T20"/>
    <mergeCell ref="U20:W20"/>
    <mergeCell ref="X20:Z20"/>
    <mergeCell ref="AA20:AC20"/>
    <mergeCell ref="AD20:AF20"/>
    <mergeCell ref="AG19:AJ19"/>
    <mergeCell ref="AK19:AN19"/>
    <mergeCell ref="AO19:AR19"/>
    <mergeCell ref="AS19:AV19"/>
    <mergeCell ref="AW19:AZ19"/>
    <mergeCell ref="BA19:BD19"/>
    <mergeCell ref="BE20:BH20"/>
    <mergeCell ref="BI20:BN20"/>
    <mergeCell ref="AK20:AN20"/>
    <mergeCell ref="AO20:AR20"/>
    <mergeCell ref="AS20:AV20"/>
    <mergeCell ref="AW20:AZ20"/>
    <mergeCell ref="BA20:BD20"/>
    <mergeCell ref="B19:E19"/>
    <mergeCell ref="F19:I19"/>
    <mergeCell ref="J19:N19"/>
    <mergeCell ref="O19:T19"/>
    <mergeCell ref="U19:W19"/>
    <mergeCell ref="X19:Z19"/>
    <mergeCell ref="AA19:AC19"/>
    <mergeCell ref="AD19:AF19"/>
    <mergeCell ref="AG18:AJ18"/>
    <mergeCell ref="BE17:BH17"/>
    <mergeCell ref="J17:N17"/>
    <mergeCell ref="O17:T17"/>
    <mergeCell ref="U17:W17"/>
    <mergeCell ref="X17:Z17"/>
    <mergeCell ref="AA17:AC17"/>
    <mergeCell ref="AD17:AF17"/>
    <mergeCell ref="BE19:BH19"/>
    <mergeCell ref="BI17:BN17"/>
    <mergeCell ref="B18:E18"/>
    <mergeCell ref="F18:I18"/>
    <mergeCell ref="J18:N18"/>
    <mergeCell ref="O18:T18"/>
    <mergeCell ref="U18:W18"/>
    <mergeCell ref="X18:Z18"/>
    <mergeCell ref="AA18:AC18"/>
    <mergeCell ref="AD18:AF18"/>
    <mergeCell ref="AG17:AJ17"/>
    <mergeCell ref="AK17:AN17"/>
    <mergeCell ref="AO17:AR17"/>
    <mergeCell ref="AS17:AV17"/>
    <mergeCell ref="AW17:AZ17"/>
    <mergeCell ref="BA17:BD17"/>
    <mergeCell ref="BE18:BH18"/>
    <mergeCell ref="BI18:BN18"/>
    <mergeCell ref="AK18:AN18"/>
    <mergeCell ref="AO18:AR18"/>
    <mergeCell ref="AS18:AV18"/>
    <mergeCell ref="AW18:AZ18"/>
    <mergeCell ref="BA18:BD18"/>
    <mergeCell ref="B17:E17"/>
    <mergeCell ref="F17:I17"/>
    <mergeCell ref="AG16:AJ16"/>
    <mergeCell ref="BE15:BH15"/>
    <mergeCell ref="BI15:BN15"/>
    <mergeCell ref="B16:E16"/>
    <mergeCell ref="F16:I16"/>
    <mergeCell ref="J16:N16"/>
    <mergeCell ref="O16:T16"/>
    <mergeCell ref="U16:W16"/>
    <mergeCell ref="X16:Z16"/>
    <mergeCell ref="AA16:AC16"/>
    <mergeCell ref="AD16:AF16"/>
    <mergeCell ref="AG15:AJ15"/>
    <mergeCell ref="AK15:AN15"/>
    <mergeCell ref="AO15:AR15"/>
    <mergeCell ref="AS15:AV15"/>
    <mergeCell ref="AW15:AZ15"/>
    <mergeCell ref="BA15:BD15"/>
    <mergeCell ref="BE16:BH16"/>
    <mergeCell ref="BI16:BN16"/>
    <mergeCell ref="AK16:AN16"/>
    <mergeCell ref="AO16:AR16"/>
    <mergeCell ref="AS16:AV16"/>
    <mergeCell ref="AW16:AZ16"/>
    <mergeCell ref="BA16:BD16"/>
    <mergeCell ref="B15:E15"/>
    <mergeCell ref="F15:I15"/>
    <mergeCell ref="J15:N15"/>
    <mergeCell ref="O15:T15"/>
    <mergeCell ref="U15:W15"/>
    <mergeCell ref="X15:Z15"/>
    <mergeCell ref="AA15:AC15"/>
    <mergeCell ref="AD15:AF15"/>
    <mergeCell ref="AG14:AJ14"/>
    <mergeCell ref="BI13:BN13"/>
    <mergeCell ref="B14:E14"/>
    <mergeCell ref="F14:I14"/>
    <mergeCell ref="J14:N14"/>
    <mergeCell ref="O14:T14"/>
    <mergeCell ref="U14:W14"/>
    <mergeCell ref="X14:Z14"/>
    <mergeCell ref="AA14:AC14"/>
    <mergeCell ref="AD14:AF14"/>
    <mergeCell ref="BE14:BH14"/>
    <mergeCell ref="BI14:BN14"/>
    <mergeCell ref="AK14:AN14"/>
    <mergeCell ref="AO14:AR14"/>
    <mergeCell ref="AS14:AV14"/>
    <mergeCell ref="AW14:AZ14"/>
    <mergeCell ref="BA14:BD14"/>
    <mergeCell ref="AW13:AZ13"/>
    <mergeCell ref="BA13:BD13"/>
    <mergeCell ref="AG12:AJ13"/>
    <mergeCell ref="AK12:AN13"/>
    <mergeCell ref="AO12:AR12"/>
    <mergeCell ref="AS12:AV12"/>
    <mergeCell ref="AW12:AZ12"/>
    <mergeCell ref="BA12:BD12"/>
    <mergeCell ref="BE13:BH13"/>
    <mergeCell ref="N9:U9"/>
    <mergeCell ref="W9:AE9"/>
    <mergeCell ref="B12:E13"/>
    <mergeCell ref="F12:I13"/>
    <mergeCell ref="J12:N13"/>
    <mergeCell ref="O12:T13"/>
    <mergeCell ref="U12:Z12"/>
    <mergeCell ref="AA12:AF12"/>
    <mergeCell ref="U13:W13"/>
    <mergeCell ref="X13:Z13"/>
    <mergeCell ref="AA13:AC13"/>
    <mergeCell ref="AD13:AF13"/>
    <mergeCell ref="AO13:AR13"/>
    <mergeCell ref="AS13:AV13"/>
    <mergeCell ref="BI2:BN2"/>
    <mergeCell ref="BH3:BN3"/>
    <mergeCell ref="BH4:BN4"/>
    <mergeCell ref="B6:BN6"/>
    <mergeCell ref="G7:P7"/>
    <mergeCell ref="T7:X7"/>
    <mergeCell ref="AA7:AR7"/>
    <mergeCell ref="AV7:BM7"/>
    <mergeCell ref="BE12:BH12"/>
    <mergeCell ref="BI12:BN12"/>
  </mergeCells>
  <conditionalFormatting sqref="G7 AA14:AA31 AD14:AD31 AS14:AS31 AW14:AW31 BA14:BA31 BE14:BE31">
    <cfRule type="containsBlanks" dxfId="8" priority="9">
      <formula>LEN(TRIM(G7))=0</formula>
    </cfRule>
  </conditionalFormatting>
  <conditionalFormatting sqref="N9">
    <cfRule type="containsBlanks" dxfId="7" priority="6">
      <formula>LEN(TRIM(N9))=0</formula>
    </cfRule>
  </conditionalFormatting>
  <conditionalFormatting sqref="O33">
    <cfRule type="containsBlanks" dxfId="6" priority="1">
      <formula>LEN(TRIM(O33))=0</formula>
    </cfRule>
  </conditionalFormatting>
  <conditionalFormatting sqref="T7">
    <cfRule type="containsBlanks" dxfId="5" priority="8">
      <formula>LEN(TRIM(T7))=0</formula>
    </cfRule>
  </conditionalFormatting>
  <conditionalFormatting sqref="V34">
    <cfRule type="containsBlanks" dxfId="4" priority="2">
      <formula>LEN(TRIM(V34))=0</formula>
    </cfRule>
  </conditionalFormatting>
  <conditionalFormatting sqref="W9">
    <cfRule type="containsBlanks" dxfId="3" priority="5">
      <formula>LEN(TRIM(W9))=0</formula>
    </cfRule>
  </conditionalFormatting>
  <conditionalFormatting sqref="AA7">
    <cfRule type="containsBlanks" dxfId="2" priority="7">
      <formula>LEN(TRIM(AA7))=0</formula>
    </cfRule>
  </conditionalFormatting>
  <conditionalFormatting sqref="AV7">
    <cfRule type="containsBlanks" dxfId="1" priority="4">
      <formula>LEN(TRIM(AV7))=0</formula>
    </cfRule>
  </conditionalFormatting>
  <conditionalFormatting sqref="BH3:BH4">
    <cfRule type="containsBlanks" dxfId="0" priority="3">
      <formula>LEN(TRIM(BH3))=0</formula>
    </cfRule>
  </conditionalFormatting>
  <printOptions horizontalCentered="1"/>
  <pageMargins left="0.19685039370078741" right="0.15748031496062992" top="0.27559055118110237" bottom="0.15748031496062992" header="0.31496062992125984" footer="0.15748031496062992"/>
  <pageSetup paperSize="9" scale="6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Apr - เบิกค่าเดินทาง</vt:lpstr>
      <vt:lpstr>'Apr - เบิกค่าเดินทาง'!Print_Area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Sasithon Sukha</dc:creator>
  <cp:lastModifiedBy>Jakgrits Phoongen</cp:lastModifiedBy>
  <cp:lastPrinted>2025-07-17T09:45:43Z</cp:lastPrinted>
  <dcterms:created xsi:type="dcterms:W3CDTF">2025-05-07T03:07:54Z</dcterms:created>
  <dcterms:modified xsi:type="dcterms:W3CDTF">2025-09-05T04:34:16Z</dcterms:modified>
</cp:coreProperties>
</file>